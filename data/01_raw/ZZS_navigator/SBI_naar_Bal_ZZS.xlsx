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N:\Projects\11208500\11208834\B. Measurements and calculations\WP3_Stoffen\data_verwerking\input_AVG_gevoelig\ZZS_nagivator\"/>
    </mc:Choice>
  </mc:AlternateContent>
  <xr:revisionPtr revIDLastSave="0" documentId="13_ncr:1_{F0BC8186-E6F8-486D-88EF-77B7D09DE6D8}" xr6:coauthVersionLast="47" xr6:coauthVersionMax="47" xr10:uidLastSave="{00000000-0000-0000-0000-000000000000}"/>
  <bookViews>
    <workbookView xWindow="-28920" yWindow="-120" windowWidth="29040" windowHeight="15840" xr2:uid="{949849CE-2578-498F-B585-E4DC411365B0}"/>
  </bookViews>
  <sheets>
    <sheet name="SBI_naar_bal" sheetId="1" r:id="rId1"/>
    <sheet name="Bal_naam_tabel" sheetId="3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</calcChain>
</file>

<file path=xl/sharedStrings.xml><?xml version="1.0" encoding="utf-8"?>
<sst xmlns="http://schemas.openxmlformats.org/spreadsheetml/2006/main" count="1040" uniqueCount="706">
  <si>
    <t>3.10.1 Mijnbouw</t>
  </si>
  <si>
    <t>1</t>
  </si>
  <si>
    <t>1,11</t>
  </si>
  <si>
    <t>1,14</t>
  </si>
  <si>
    <t>1,41</t>
  </si>
  <si>
    <t>1,47</t>
  </si>
  <si>
    <t>1,63</t>
  </si>
  <si>
    <t>5</t>
  </si>
  <si>
    <t>5,2</t>
  </si>
  <si>
    <t>6</t>
  </si>
  <si>
    <t>6,2</t>
  </si>
  <si>
    <t>7</t>
  </si>
  <si>
    <t>7,21</t>
  </si>
  <si>
    <t>7,29</t>
  </si>
  <si>
    <t>8</t>
  </si>
  <si>
    <t/>
  </si>
  <si>
    <t>8,11</t>
  </si>
  <si>
    <t>8,12</t>
  </si>
  <si>
    <t>9</t>
  </si>
  <si>
    <t>9,1</t>
  </si>
  <si>
    <t>9,9</t>
  </si>
  <si>
    <t>10</t>
  </si>
  <si>
    <t>10,1</t>
  </si>
  <si>
    <t>3.6.1 Veehouderij</t>
  </si>
  <si>
    <t>3.4.8 Voedingsmiddelenindustrie</t>
  </si>
  <si>
    <t>Teelt van granen (m.u.v. rijst), peulgewassen en oliehoudende zaden</t>
  </si>
  <si>
    <t>Teelt van suikerriet</t>
  </si>
  <si>
    <t>Fokken van melkvee</t>
  </si>
  <si>
    <t>Fokken van pluimvee</t>
  </si>
  <si>
    <t>Activiteiten met betrekking tot gewassen na de oogst</t>
  </si>
  <si>
    <t>Mining of coal and lignite</t>
  </si>
  <si>
    <t>Winning van bruinkool</t>
  </si>
  <si>
    <t>Winning van aardolie en aardgas</t>
  </si>
  <si>
    <t>Winning van aardgas</t>
  </si>
  <si>
    <t>Mining of metal ores</t>
  </si>
  <si>
    <t>Winning van uranium- en thoriumerts</t>
  </si>
  <si>
    <t>Winning van andere non-ferrometaalertsen</t>
  </si>
  <si>
    <t>Overige winning van delfstoffen</t>
  </si>
  <si>
    <t>Winning van bouw- en siersteen, kalksteen, gips, krijt en leisteen</t>
  </si>
  <si>
    <t>Winning van grind, zand, klei en kaolien</t>
  </si>
  <si>
    <t>Mining support service activities</t>
  </si>
  <si>
    <t>Ondersteunende activiteiten in verband met de aardolie- en aardgaswinning</t>
  </si>
  <si>
    <t>Ondersteunende activiteiten in verband met de overige winning van delfstoffen</t>
  </si>
  <si>
    <t>Vervaardiging van voedingsmiddelen</t>
  </si>
  <si>
    <t>Verwerking en conservering van vlees en vervaardiging van vleesproducten</t>
  </si>
  <si>
    <t>10,11</t>
  </si>
  <si>
    <t>10,12</t>
  </si>
  <si>
    <t>10,13</t>
  </si>
  <si>
    <t>10,2</t>
  </si>
  <si>
    <t>10,3</t>
  </si>
  <si>
    <t>10,31</t>
  </si>
  <si>
    <t>10,32</t>
  </si>
  <si>
    <t>10,39</t>
  </si>
  <si>
    <t>10,4</t>
  </si>
  <si>
    <t>10,41</t>
  </si>
  <si>
    <t>10,5</t>
  </si>
  <si>
    <t>10,51</t>
  </si>
  <si>
    <t>10,6</t>
  </si>
  <si>
    <t>10,61</t>
  </si>
  <si>
    <t>10,71</t>
  </si>
  <si>
    <t>10,72</t>
  </si>
  <si>
    <t>10,73</t>
  </si>
  <si>
    <t>10,8</t>
  </si>
  <si>
    <t>24</t>
  </si>
  <si>
    <t>24,1</t>
  </si>
  <si>
    <t>24,2</t>
  </si>
  <si>
    <t>24,3</t>
  </si>
  <si>
    <t>24,31</t>
  </si>
  <si>
    <t>24,34</t>
  </si>
  <si>
    <t>24,4</t>
  </si>
  <si>
    <t>24,41</t>
  </si>
  <si>
    <t>24,42</t>
  </si>
  <si>
    <t>24,44</t>
  </si>
  <si>
    <t>24,45</t>
  </si>
  <si>
    <t>24,5</t>
  </si>
  <si>
    <t>24,51</t>
  </si>
  <si>
    <t>24,52</t>
  </si>
  <si>
    <t>24,53</t>
  </si>
  <si>
    <t>24,54</t>
  </si>
  <si>
    <t>25</t>
  </si>
  <si>
    <t>25,11</t>
  </si>
  <si>
    <t>25,12</t>
  </si>
  <si>
    <t>25,21</t>
  </si>
  <si>
    <t>25,29</t>
  </si>
  <si>
    <t>25,3</t>
  </si>
  <si>
    <t>25,4</t>
  </si>
  <si>
    <t>25,5</t>
  </si>
  <si>
    <t>25,61</t>
  </si>
  <si>
    <t>25,62</t>
  </si>
  <si>
    <t>25,71</t>
  </si>
  <si>
    <t>25,72</t>
  </si>
  <si>
    <t>25,73</t>
  </si>
  <si>
    <t>25,92</t>
  </si>
  <si>
    <t>25,93</t>
  </si>
  <si>
    <t>25,94</t>
  </si>
  <si>
    <t>25,99</t>
  </si>
  <si>
    <t>26</t>
  </si>
  <si>
    <t>26,11</t>
  </si>
  <si>
    <t>26,12</t>
  </si>
  <si>
    <t>26,2</t>
  </si>
  <si>
    <t>26,3</t>
  </si>
  <si>
    <t>26,4</t>
  </si>
  <si>
    <t>26,51</t>
  </si>
  <si>
    <t>26,6</t>
  </si>
  <si>
    <t>26,7</t>
  </si>
  <si>
    <t>26,8</t>
  </si>
  <si>
    <t>27</t>
  </si>
  <si>
    <t>27,11</t>
  </si>
  <si>
    <t>27,12</t>
  </si>
  <si>
    <t>27,2</t>
  </si>
  <si>
    <t>27,31</t>
  </si>
  <si>
    <t>27,32</t>
  </si>
  <si>
    <t>27,33</t>
  </si>
  <si>
    <t>27,4</t>
  </si>
  <si>
    <t>27,51</t>
  </si>
  <si>
    <t>27,9</t>
  </si>
  <si>
    <t>28</t>
  </si>
  <si>
    <t>28,11</t>
  </si>
  <si>
    <t>28,12</t>
  </si>
  <si>
    <t>28,13</t>
  </si>
  <si>
    <t>28,14</t>
  </si>
  <si>
    <t>28,15</t>
  </si>
  <si>
    <t>28,21</t>
  </si>
  <si>
    <t>28,22</t>
  </si>
  <si>
    <t>28,24</t>
  </si>
  <si>
    <t>Scheepsbouw</t>
  </si>
  <si>
    <t>28,25</t>
  </si>
  <si>
    <t>28,29</t>
  </si>
  <si>
    <t>28,3</t>
  </si>
  <si>
    <t>28,41</t>
  </si>
  <si>
    <t>28,92</t>
  </si>
  <si>
    <t>28,99</t>
  </si>
  <si>
    <t>29</t>
  </si>
  <si>
    <t>29,1</t>
  </si>
  <si>
    <t>29,2</t>
  </si>
  <si>
    <t>30</t>
  </si>
  <si>
    <t>30,1</t>
  </si>
  <si>
    <t>30,11</t>
  </si>
  <si>
    <t>30,12</t>
  </si>
  <si>
    <t>30,2</t>
  </si>
  <si>
    <t>30,3</t>
  </si>
  <si>
    <t>30,4</t>
  </si>
  <si>
    <t>30,9</t>
  </si>
  <si>
    <t>30,91</t>
  </si>
  <si>
    <t>31</t>
  </si>
  <si>
    <t>31,01</t>
  </si>
  <si>
    <t>31,02</t>
  </si>
  <si>
    <t>31,09</t>
  </si>
  <si>
    <t>33,11</t>
  </si>
  <si>
    <t>33,12</t>
  </si>
  <si>
    <t>33,15</t>
  </si>
  <si>
    <t>33,17</t>
  </si>
  <si>
    <t>33,2</t>
  </si>
  <si>
    <t>Afvalwaterafvoer</t>
  </si>
  <si>
    <t>Terugwinning</t>
  </si>
  <si>
    <t>35</t>
  </si>
  <si>
    <t>35,11</t>
  </si>
  <si>
    <t>36</t>
  </si>
  <si>
    <t>37</t>
  </si>
  <si>
    <t>38</t>
  </si>
  <si>
    <t>38,1</t>
  </si>
  <si>
    <t>38,11</t>
  </si>
  <si>
    <t>38,12</t>
  </si>
  <si>
    <t>38,2</t>
  </si>
  <si>
    <t>38,21</t>
  </si>
  <si>
    <t>38,22</t>
  </si>
  <si>
    <t>38,3</t>
  </si>
  <si>
    <t>38,32</t>
  </si>
  <si>
    <t>39</t>
  </si>
  <si>
    <t>41,2</t>
  </si>
  <si>
    <t>42</t>
  </si>
  <si>
    <t>42,11</t>
  </si>
  <si>
    <t>42,21</t>
  </si>
  <si>
    <t>43</t>
  </si>
  <si>
    <t>45</t>
  </si>
  <si>
    <t>Luchtvaart</t>
  </si>
  <si>
    <t>Opslag</t>
  </si>
  <si>
    <t>Vrachtbehandeling</t>
  </si>
  <si>
    <t>Uitgeverijen</t>
  </si>
  <si>
    <t>45,1</t>
  </si>
  <si>
    <t>45,11</t>
  </si>
  <si>
    <t>45,2</t>
  </si>
  <si>
    <t>45,31</t>
  </si>
  <si>
    <t>46</t>
  </si>
  <si>
    <t>46,21</t>
  </si>
  <si>
    <t>46,33</t>
  </si>
  <si>
    <t>46,44</t>
  </si>
  <si>
    <t>46,46</t>
  </si>
  <si>
    <t>46,47</t>
  </si>
  <si>
    <t>46,51</t>
  </si>
  <si>
    <t>46,52</t>
  </si>
  <si>
    <t>46,62</t>
  </si>
  <si>
    <t>46,69</t>
  </si>
  <si>
    <t>46,71</t>
  </si>
  <si>
    <t>46,72</t>
  </si>
  <si>
    <t>46,73</t>
  </si>
  <si>
    <t>46,76</t>
  </si>
  <si>
    <t>46,77</t>
  </si>
  <si>
    <t>49</t>
  </si>
  <si>
    <t>49,41</t>
  </si>
  <si>
    <t>49,5</t>
  </si>
  <si>
    <t>50</t>
  </si>
  <si>
    <t>51</t>
  </si>
  <si>
    <t>52</t>
  </si>
  <si>
    <t>52,1</t>
  </si>
  <si>
    <t>52,22</t>
  </si>
  <si>
    <t>52,23</t>
  </si>
  <si>
    <t>52,24</t>
  </si>
  <si>
    <t>53</t>
  </si>
  <si>
    <t>58</t>
  </si>
  <si>
    <t>Defensie</t>
  </si>
  <si>
    <t>Brandweer</t>
  </si>
  <si>
    <t>Menselijke gezondheidszorg</t>
  </si>
  <si>
    <t>58,19</t>
  </si>
  <si>
    <t>72,11</t>
  </si>
  <si>
    <t>72,19</t>
  </si>
  <si>
    <t>81</t>
  </si>
  <si>
    <t>84,22</t>
  </si>
  <si>
    <t>84,25</t>
  </si>
  <si>
    <t>85,32</t>
  </si>
  <si>
    <t>85,42</t>
  </si>
  <si>
    <t>85,51</t>
  </si>
  <si>
    <t>86</t>
  </si>
  <si>
    <t>93</t>
  </si>
  <si>
    <t>94,99</t>
  </si>
  <si>
    <t>96</t>
  </si>
  <si>
    <t>96,01</t>
  </si>
  <si>
    <t>10,81</t>
  </si>
  <si>
    <t>10,82</t>
  </si>
  <si>
    <t>10,83</t>
  </si>
  <si>
    <t>10,84</t>
  </si>
  <si>
    <t>10,9</t>
  </si>
  <si>
    <t>10,91</t>
  </si>
  <si>
    <t>10,92</t>
  </si>
  <si>
    <t>11</t>
  </si>
  <si>
    <t>11,01</t>
  </si>
  <si>
    <t>11,05</t>
  </si>
  <si>
    <t>Textielveredeling</t>
  </si>
  <si>
    <t>11,06</t>
  </si>
  <si>
    <t>11,07</t>
  </si>
  <si>
    <t>12</t>
  </si>
  <si>
    <t>13</t>
  </si>
  <si>
    <t>13,1</t>
  </si>
  <si>
    <t>13,2</t>
  </si>
  <si>
    <t>13,3</t>
  </si>
  <si>
    <t>13,92</t>
  </si>
  <si>
    <t>13,93</t>
  </si>
  <si>
    <t>13,94</t>
  </si>
  <si>
    <t>13,95</t>
  </si>
  <si>
    <t>13,96</t>
  </si>
  <si>
    <t>13,99</t>
  </si>
  <si>
    <t>14</t>
  </si>
  <si>
    <t>14,19</t>
  </si>
  <si>
    <t>15</t>
  </si>
  <si>
    <t>15,11</t>
  </si>
  <si>
    <t>15,12</t>
  </si>
  <si>
    <t>15,2</t>
  </si>
  <si>
    <t>Vervaardiging van parketvloeren</t>
  </si>
  <si>
    <t>Vervaardiging van pulp</t>
  </si>
  <si>
    <t>Aardolieraffinage</t>
  </si>
  <si>
    <t>16</t>
  </si>
  <si>
    <t>16,1</t>
  </si>
  <si>
    <t>16,21</t>
  </si>
  <si>
    <t>16,22</t>
  </si>
  <si>
    <t>16,23</t>
  </si>
  <si>
    <t>16,24</t>
  </si>
  <si>
    <t>16,29</t>
  </si>
  <si>
    <t>17</t>
  </si>
  <si>
    <t>17,1</t>
  </si>
  <si>
    <t>17,11</t>
  </si>
  <si>
    <t>17,12</t>
  </si>
  <si>
    <t>17,2</t>
  </si>
  <si>
    <t>17,21</t>
  </si>
  <si>
    <t>17,22</t>
  </si>
  <si>
    <t>17,23</t>
  </si>
  <si>
    <t>17,29</t>
  </si>
  <si>
    <t>18</t>
  </si>
  <si>
    <t>18,12</t>
  </si>
  <si>
    <t>18,13</t>
  </si>
  <si>
    <t>18,2</t>
  </si>
  <si>
    <t>19</t>
  </si>
  <si>
    <t>19,1</t>
  </si>
  <si>
    <t>19,2</t>
  </si>
  <si>
    <t>20</t>
  </si>
  <si>
    <t>20,1</t>
  </si>
  <si>
    <t>20,11</t>
  </si>
  <si>
    <t>20,12</t>
  </si>
  <si>
    <t>20,13</t>
  </si>
  <si>
    <t>20,14</t>
  </si>
  <si>
    <t>20,15</t>
  </si>
  <si>
    <t>20,16</t>
  </si>
  <si>
    <t>20,17</t>
  </si>
  <si>
    <t>20,2</t>
  </si>
  <si>
    <t>20,3</t>
  </si>
  <si>
    <t>20,4</t>
  </si>
  <si>
    <t>20,41</t>
  </si>
  <si>
    <t>20,42</t>
  </si>
  <si>
    <t>20,5</t>
  </si>
  <si>
    <t>20,51</t>
  </si>
  <si>
    <t>20,52</t>
  </si>
  <si>
    <t>20,59</t>
  </si>
  <si>
    <t>20,6</t>
  </si>
  <si>
    <t>21</t>
  </si>
  <si>
    <t>21,1</t>
  </si>
  <si>
    <t>21,2</t>
  </si>
  <si>
    <t>22</t>
  </si>
  <si>
    <t>22,1</t>
  </si>
  <si>
    <t>22,11</t>
  </si>
  <si>
    <t>22,19</t>
  </si>
  <si>
    <t>22,2</t>
  </si>
  <si>
    <t>Vervaardiging van glasvezels</t>
  </si>
  <si>
    <t>22,21</t>
  </si>
  <si>
    <t>22,22</t>
  </si>
  <si>
    <t>22,23</t>
  </si>
  <si>
    <t>22,29</t>
  </si>
  <si>
    <t>23</t>
  </si>
  <si>
    <t>23,1</t>
  </si>
  <si>
    <t>23,11</t>
  </si>
  <si>
    <t>23,12</t>
  </si>
  <si>
    <t>23,13</t>
  </si>
  <si>
    <t>23,14</t>
  </si>
  <si>
    <t>23,2</t>
  </si>
  <si>
    <t>23,3</t>
  </si>
  <si>
    <t>23,32</t>
  </si>
  <si>
    <t>23,4</t>
  </si>
  <si>
    <t>23,5</t>
  </si>
  <si>
    <t>23,51</t>
  </si>
  <si>
    <t>23,52</t>
  </si>
  <si>
    <t>23,6</t>
  </si>
  <si>
    <t>23,61</t>
  </si>
  <si>
    <t>23,63</t>
  </si>
  <si>
    <t>23,69</t>
  </si>
  <si>
    <t>23,7</t>
  </si>
  <si>
    <t>23,9</t>
  </si>
  <si>
    <t>23,91</t>
  </si>
  <si>
    <t>23,99</t>
  </si>
  <si>
    <t>3.4.7 Papierindustrie, houtindustrie, textielindustrie en leerindustrie</t>
  </si>
  <si>
    <t>3.4.10 Grafische industrie</t>
  </si>
  <si>
    <t>3.3.3 Raffinaderij</t>
  </si>
  <si>
    <t>3.3.8 Basischemie</t>
  </si>
  <si>
    <t>3.3.5 Vergassen of vloeibaar maken van steenkool of andere brandstoffen</t>
  </si>
  <si>
    <t>3.4.9 Rubberindustrie en kunststofindustrie</t>
  </si>
  <si>
    <t>3.4.4 Metaalproductenindustrie</t>
  </si>
  <si>
    <t>3.3.6 Basismetaal</t>
  </si>
  <si>
    <t>3.8.4 Garage, autoschadeherstelbedrijf, autowasstraat en carrosseriebouw</t>
  </si>
  <si>
    <t>3.5.2 Kringloopbedrijf en bedrijf voor reparatie van gebruikte producten</t>
  </si>
  <si>
    <t>3.7.8 Repareren en verhuren van gemotoriseerde werktuigen</t>
  </si>
  <si>
    <t>3.7.1 Bouwbedrijf, installatiebedrijf, grondbouwbedrijf, wegbouwbedrijf, waterbouwbedrijf en schildersbedrijf</t>
  </si>
  <si>
    <t>3.3.2 Grootschalige Energieopwekking</t>
  </si>
  <si>
    <t>3.4.3 Buisleiding met gevaarlijke stoffen</t>
  </si>
  <si>
    <t>3.2.1 Stookinstallatie</t>
  </si>
  <si>
    <t>3.4.1 Drinkwaterbedrijf</t>
  </si>
  <si>
    <t>3.2.17 Zuiveringsvoorziening voor ingezameld of afgegeven afvalwater</t>
  </si>
  <si>
    <t>3.5.11 Verwerken van bedrijfsafvalstoffen of gevaarlijke afvalstoffen</t>
  </si>
  <si>
    <t>3.5.6 Milieustraat</t>
  </si>
  <si>
    <t>3.2.23 Saneren van de bodem</t>
  </si>
  <si>
    <t>3.8.5 Motorrevisiebedrijf</t>
  </si>
  <si>
    <t>3.8.6 Opslag- en transportbedrijf, groothandel en containerterminal</t>
  </si>
  <si>
    <t>3.8.2 Brandstoffenhandel en tankopslagbedrijf</t>
  </si>
  <si>
    <t>3.7.5 Laboratorium</t>
  </si>
  <si>
    <t>3.7.7 Onderhoud van de openbare ruimte</t>
  </si>
  <si>
    <t>3.7.10 Voorziening voor het oefenen van brandbestrijdingstechnieken</t>
  </si>
  <si>
    <t>3.7.9 Ziekenhuis</t>
  </si>
  <si>
    <t>3.7.2 Chemische wasserij</t>
  </si>
  <si>
    <t>3.7.4 Crematorium</t>
  </si>
  <si>
    <t>3.3.4 Maken van cokes</t>
  </si>
  <si>
    <t>Teelt van gewassen, veeteelt, jacht en diensten in verband met deze activiteiten</t>
  </si>
  <si>
    <t>Verwerking en conservering van vlees</t>
  </si>
  <si>
    <t>Verwerking en conservering van gevogelte</t>
  </si>
  <si>
    <t>Vervaardiging van producten van vlees of van gevogelte</t>
  </si>
  <si>
    <t>Verwerking en conservering van vis en van schaal- en weekdieren</t>
  </si>
  <si>
    <t>Verwerking en conservering van groenten en fruit</t>
  </si>
  <si>
    <t>Verwerking en conservering van aardappelen</t>
  </si>
  <si>
    <t>Vervaardiging van groente- en fruitsappen</t>
  </si>
  <si>
    <t>Overige verwerking en conservering van groenten en fruit</t>
  </si>
  <si>
    <t>Vervaardiging van plantaardige en dierlijke oliën en vetten</t>
  </si>
  <si>
    <t>Vervaardiging van oliën en vetten</t>
  </si>
  <si>
    <t>Vervaardiging van zuivelproducten</t>
  </si>
  <si>
    <t>Zuivelfabrieken en kaasmakerijen</t>
  </si>
  <si>
    <t>Vervaardiging van maalderijproducten, zetmeel en zetmeelproducten</t>
  </si>
  <si>
    <t>Vervaardiging van maalderijproducten</t>
  </si>
  <si>
    <t>Vervaardiging van brood en van vers banketbakkerswerk</t>
  </si>
  <si>
    <t>Vervaardiging van beschuiten, biscuits en ander houdbaar banketbakkerswerk</t>
  </si>
  <si>
    <t>Vervaardiging van macaroni, noedels, koeskoes en dergelijke deegwaren</t>
  </si>
  <si>
    <t>Vervaardiging van andere voedingsmiddelen</t>
  </si>
  <si>
    <t>Vervaardiging van suiker</t>
  </si>
  <si>
    <t>Vervaardiging van cacao, chocolade en suikerwerk</t>
  </si>
  <si>
    <t>Verwerking van thee en koffie</t>
  </si>
  <si>
    <t>Vervaardiging van specerijen, sauzen en kruiderijen</t>
  </si>
  <si>
    <t>Vervaardiging van diervoeders</t>
  </si>
  <si>
    <t>Vervaardiging van veevoeders</t>
  </si>
  <si>
    <t>Vervaardiging van voeders voor huisdieren</t>
  </si>
  <si>
    <t>Vervaardiging van dranken</t>
  </si>
  <si>
    <t>Vervaardiging van gedistilleerde dranken door distilleren, rectificeren en mengen</t>
  </si>
  <si>
    <t>Vervaardiging van bier</t>
  </si>
  <si>
    <t>Manufacture of malt</t>
  </si>
  <si>
    <t>Vervaardiging van frisdranken; productie van mineraalwater en ander gebotteld water</t>
  </si>
  <si>
    <t>Vervaardiging van tabaksproducten</t>
  </si>
  <si>
    <t>Vervaardiging van textiel</t>
  </si>
  <si>
    <t>Bewerken en spinnen van textielvezels</t>
  </si>
  <si>
    <t>Weven van textiel</t>
  </si>
  <si>
    <t>Vervaardiging van geconfectioneerde artikelen van textiel, exclusief kleding</t>
  </si>
  <si>
    <t>Vervaardiging van vloerkleden en tapijt</t>
  </si>
  <si>
    <t>Vervaardiging van koord, bindgaren, touwen en netten</t>
  </si>
  <si>
    <t>Vervaardiging van gebonden textielvlies en van artikelen van gebonden textielvlies, exclusief kleding</t>
  </si>
  <si>
    <t>Vervaardiging van ander technisch en industrieel textiel</t>
  </si>
  <si>
    <t>Vervaardiging van andere textielproducten, n.e.g.</t>
  </si>
  <si>
    <t>Vervaardiging van kleding</t>
  </si>
  <si>
    <t>Vervaardiging van andere kleding en toebehoren</t>
  </si>
  <si>
    <t>Vervaardiging van leer en van producten van leer</t>
  </si>
  <si>
    <t>Looien en bereiden van leer; bereiden en verven van bont</t>
  </si>
  <si>
    <t>Vervaardiging van koffers, tassen en dergelijke en van zadel- en tuigmakerswerk</t>
  </si>
  <si>
    <t>Vervaardiging van schoeisel</t>
  </si>
  <si>
    <t>Houtindustrie en vervaardiging van artikelen van hout en van kurk, exclusief meubelen; vervaardiging van artikelen van riet en van vlechtwerk</t>
  </si>
  <si>
    <t>Zagen en schaven van hout</t>
  </si>
  <si>
    <t>Vervaardiging van fineer en van panelen op basis van hout</t>
  </si>
  <si>
    <t>Vervaardiging van ander schrijn- en timmerwerk</t>
  </si>
  <si>
    <t>Vervaardiging van houten emballage</t>
  </si>
  <si>
    <t>Vervaardiging van andere artikelen van hout; vervaardiging van artikelen van kurk, riet of vlechtwerk</t>
  </si>
  <si>
    <t>Vervaardiging van papier en papierwaren</t>
  </si>
  <si>
    <t>Vervaardiging van pulp, papier en karton</t>
  </si>
  <si>
    <t>Vervaardiging van papier en karton</t>
  </si>
  <si>
    <t>Vervaardiging van artikelen van papier of karton</t>
  </si>
  <si>
    <t>Vervaardiging van gegolfd papier en golfkarton en van verpakkingsmateriaal van papier en karton</t>
  </si>
  <si>
    <t>Vervaardiging van huishoudelijke en sanitaire papierwaren</t>
  </si>
  <si>
    <t>Vervaardiging van kantoorbenodigdheden van papier</t>
  </si>
  <si>
    <t>Vervaardiging van andere artikelen van papier of karton</t>
  </si>
  <si>
    <t>Drukkerijen, reproductie van opgenomen media</t>
  </si>
  <si>
    <t>Overige drukkerijen</t>
  </si>
  <si>
    <t>Prepress- en premediadiensten</t>
  </si>
  <si>
    <t>Reproductie van opgenomen media</t>
  </si>
  <si>
    <t>Manufacture of coke and refined petroleum products</t>
  </si>
  <si>
    <t>Vervaardiging van cokesovenproducten</t>
  </si>
  <si>
    <t>Vervaardiging van geraffineerde aardolieproducten</t>
  </si>
  <si>
    <t>Manufacture of chemicals and chemical products</t>
  </si>
  <si>
    <t>Vervaardiging van chemische basisproducten, kunstmeststoffen en stikstofverbindingen, en van kunststoffen en synthetische rubber in primaire vormen</t>
  </si>
  <si>
    <t>Vervaardiging van industriële gassen</t>
  </si>
  <si>
    <t>Vervaardiging van kleurstoffen en pigmenten</t>
  </si>
  <si>
    <t>Vervaardiging van andere anorganische chemische basisproducten</t>
  </si>
  <si>
    <t>Vervaardiging van andere organische chemische basisproducten</t>
  </si>
  <si>
    <t>Vervaardiging van petrochemische producten</t>
  </si>
  <si>
    <t>Vervaardiging van organische basischemicaliën (geen petrochemische producten)</t>
  </si>
  <si>
    <t>Vervaardiging van kunstmeststoffen en stikstofverbindingen</t>
  </si>
  <si>
    <t>Vervaardiging van kunststoffen in primaire vormen</t>
  </si>
  <si>
    <t>Vervaardiging van synthetische rubber in primaire vormen</t>
  </si>
  <si>
    <t>Vervaardiging van verdelgingsmiddelen en van andere chemische producten voor de landbouw</t>
  </si>
  <si>
    <t>Vervaardiging van verf, vernis, drukinkten, mastiek</t>
  </si>
  <si>
    <t>Vervaardiging van zeep, wasmiddelen, poets- en reinigingsmiddelen, parfums en toiletartikelen</t>
  </si>
  <si>
    <t>Vervaardiging van zeep en wasmiddelen, poets- en reinigingsmiddelen</t>
  </si>
  <si>
    <t>Vervaardiging van parfums en toiletartikelen</t>
  </si>
  <si>
    <t>Vervaardiging van andere chemische producten</t>
  </si>
  <si>
    <t>Vervaardiging van kruit en springstoffen</t>
  </si>
  <si>
    <t>Vervaardiging van lijm</t>
  </si>
  <si>
    <t>Vervaardiging van andere chemische producten, n.e.g.</t>
  </si>
  <si>
    <t>Vervaardiging van synthetische en kunstmatige vezels</t>
  </si>
  <si>
    <t>Manufacture of basic pharmaceutical products and pharmaceutical preparations</t>
  </si>
  <si>
    <t>Vervaardiging van farmaceutische grondstoffen</t>
  </si>
  <si>
    <t>Vervaardiging van farmaceutische producten</t>
  </si>
  <si>
    <t>Vervaardiging van producten van rubber of kunststof</t>
  </si>
  <si>
    <t>Vervaardiging van producten van rubber</t>
  </si>
  <si>
    <t>Vervaardiging van binnen- en buitenbanden van rubber; loopvlakvernieuwing</t>
  </si>
  <si>
    <t>Vervaardiging van andere producten van rubber</t>
  </si>
  <si>
    <t>Vervaardiging van producten van kunststof</t>
  </si>
  <si>
    <t>Vervaardiging van platen, vellen, buizen en profielen van kunststof</t>
  </si>
  <si>
    <t>Vervaardiging van verpakkingsmateriaal van kunststof</t>
  </si>
  <si>
    <t>Vervaardiging van kunststofartikelen voor de bouw</t>
  </si>
  <si>
    <t>Vervaardiging van andere producten van kunststof</t>
  </si>
  <si>
    <t>Vervaardiging van andere niet-metaalhoudende minerale producten</t>
  </si>
  <si>
    <t>Vervaardiging van glas en glaswerk</t>
  </si>
  <si>
    <t>Vervaardiging van vlakglas</t>
  </si>
  <si>
    <t>Vormen en bewerken van vlakglas</t>
  </si>
  <si>
    <t>Vervaardiging van holglas</t>
  </si>
  <si>
    <t>Vervaardiging van vuurvaste producten</t>
  </si>
  <si>
    <t>Vervaardiging van producten voor de bouw, van klei</t>
  </si>
  <si>
    <t>Vervaardiging van bakstenen, tegels en producten voor de bouw, van gebakken klei</t>
  </si>
  <si>
    <t>Vervaardiging van andere keramische producten</t>
  </si>
  <si>
    <t>Vervaardiging van cement, kalk en gips</t>
  </si>
  <si>
    <t>Vervaardiging van cement</t>
  </si>
  <si>
    <t>Vervaardiging van kalk en gips</t>
  </si>
  <si>
    <t>Vervaardiging van artikelen van beton, cement en gips</t>
  </si>
  <si>
    <t>Vervaardiging van artikelen van beton voor de bouw</t>
  </si>
  <si>
    <t>Vervaardiging van stortklaar beton</t>
  </si>
  <si>
    <t>Vervaardiging van andere artikelen van beton, gips en cement</t>
  </si>
  <si>
    <t>Houwen, bewerken en afwerken van natuursteen</t>
  </si>
  <si>
    <t>Vervaardiging van andere schuurmiddelen en niet-metaalhoudende minerale producten, n.e.g.</t>
  </si>
  <si>
    <t>Vervaardiging van schuur-, slijp- en polijstmiddelen</t>
  </si>
  <si>
    <t>Vervaardiging van andere niet-metaalhoudende minerale producten, n.e.g.</t>
  </si>
  <si>
    <t>Vervaardiging van metalen in primaire vorm</t>
  </si>
  <si>
    <t>Vervaardiging van ijzer, staal en ferrolegeringen</t>
  </si>
  <si>
    <t>Vervaardiging van buizen, pijpen, holle profielen en fittings daarvoor, van staal</t>
  </si>
  <si>
    <t>Vervaardiging van andere producten van de eersteverwerking van staal</t>
  </si>
  <si>
    <t>Koudtrekken van staven</t>
  </si>
  <si>
    <t>Koudtrekken van draad</t>
  </si>
  <si>
    <t>Productie van edelmetalen en van andere non-ferrometalen</t>
  </si>
  <si>
    <t>Productie van edelmetalen</t>
  </si>
  <si>
    <t>Productie van aluminium</t>
  </si>
  <si>
    <t>Productie van koper</t>
  </si>
  <si>
    <t>Productie van andere non-ferrometalen</t>
  </si>
  <si>
    <t>Gieten van metalen</t>
  </si>
  <si>
    <t>Gieten van ijzer</t>
  </si>
  <si>
    <t>Gieten van staal</t>
  </si>
  <si>
    <t>Gieten van lichtmetalen</t>
  </si>
  <si>
    <t>Gieten van andere non-ferrometalen</t>
  </si>
  <si>
    <t>Vervaardiging van producten van metaal, exclusief machines en apparaten</t>
  </si>
  <si>
    <t>Vervaardiging van metalen constructiewerken en delen daarvan</t>
  </si>
  <si>
    <t>Vervaardiging van metalen deuren en vensters</t>
  </si>
  <si>
    <t>Vervaardiging van radiatoren en ketels voor centrale verwarming</t>
  </si>
  <si>
    <t>Vervaardiging van andere tanks, reservoirs en bergingsmiddelen, van metaal</t>
  </si>
  <si>
    <t>Vervaardiging van stoomketels, exclusief warmwaterketels voor centrale verwarming</t>
  </si>
  <si>
    <t>Vervaardiging van wapens en munitie</t>
  </si>
  <si>
    <t>Smeden, persen, stampen en profielwalsen van metaal; poedermetallurgie</t>
  </si>
  <si>
    <t>Oppervlaktebehandeling van metalen</t>
  </si>
  <si>
    <t>Verspanend bewerken van metalen</t>
  </si>
  <si>
    <t>Vervaardiging van scharen, messen, bestekken, enz.</t>
  </si>
  <si>
    <t>Vervaardiging van hang- en sluitwerk</t>
  </si>
  <si>
    <t>Vervaardiging van gereedschap</t>
  </si>
  <si>
    <t>Vervaardiging van verpakkingsmiddelen van lichtmetaal</t>
  </si>
  <si>
    <t>Vervaardiging van artikelen van draad en van kettingen en veren</t>
  </si>
  <si>
    <t>Vervaardiging van bouten, schroeven en moeren</t>
  </si>
  <si>
    <t>Vervaardiging van andere producten van metaal, n.e.g.</t>
  </si>
  <si>
    <t>Vervaardiging van informaticaproducten en van elektronische en optische producten</t>
  </si>
  <si>
    <t>Vervaardiging van elektronische onderdelen</t>
  </si>
  <si>
    <t>Vervaardiging van elektronische printplaten</t>
  </si>
  <si>
    <t>Vervaardiging van computers en randapparatuur</t>
  </si>
  <si>
    <t>Vervaardiging van communicatieapparatuur</t>
  </si>
  <si>
    <t>Vervaardiging van consumentenelektronica</t>
  </si>
  <si>
    <t>Vervaardiging van meet-, controle- en navigatie-instrumenten en apparatuur</t>
  </si>
  <si>
    <t>Vervaardiging van bestralingsapparatuur en van elektromedische en elektrotherapeutische apparatuur</t>
  </si>
  <si>
    <t>Vervaardiging van optische instrumenten en van foto- en filmapparatuur</t>
  </si>
  <si>
    <t>Vervaardiging van magnetische en optische media</t>
  </si>
  <si>
    <t>Vervaardiging van elektrische apparatuur</t>
  </si>
  <si>
    <t>Vervaardiging van elektromotoren en van elektrische generatoren en transformatoren</t>
  </si>
  <si>
    <t>Vervaardiging van schakel- en verdeelinrichtingen</t>
  </si>
  <si>
    <t>Vervaardiging van batterijen en accumulatoren</t>
  </si>
  <si>
    <t>Vervaardiging van kabels van optische vezels</t>
  </si>
  <si>
    <t>Vervaardiging van andere elektrische en elektronische kabels</t>
  </si>
  <si>
    <t>Vervaardiging van schakelaars, stekkers, stopcontacten, enz.</t>
  </si>
  <si>
    <t>Vervaardiging van elektrische verlichtingsbenodigdheden</t>
  </si>
  <si>
    <t>Vervaardiging van elektrische huishoudapparaten</t>
  </si>
  <si>
    <t>Vervaardiging van andere elektrische apparatuur</t>
  </si>
  <si>
    <t>Vervaardiging van machines, apparaten en werktuigen, n.e.g.</t>
  </si>
  <si>
    <t>Vervaardiging van motoren en turbines, exclusief motoren voor luchtvaartuigen, motorvoertuigen en bromfietsen</t>
  </si>
  <si>
    <t>Vervaardiging van hydraulische apparatuur</t>
  </si>
  <si>
    <t>Vervaardiging van andere pompen en compressoren</t>
  </si>
  <si>
    <t>Vervaardiging van andere kranen en soortgelijke artikelen</t>
  </si>
  <si>
    <t>Vervaardiging van tandwielen, lagers en andere drijfwerkelementen</t>
  </si>
  <si>
    <t>Vervaardiging van ovens en branders</t>
  </si>
  <si>
    <t>Vervaardiging van hijs-, hef- en transportwerktuigen</t>
  </si>
  <si>
    <t>Vervaardiging van elektrisch handgereedschap</t>
  </si>
  <si>
    <t>Vervaardiging van machines en apparaten voor de koeltechniek en de klimaatregeling, voor niet-huishoudelijk gebruik</t>
  </si>
  <si>
    <t>Vervaardiging van andere machines en apparaten voor algemeen gebruik, n.e.g.</t>
  </si>
  <si>
    <t>Vervaardiging van machines en werktuigen voor de landbouw en de bosbouw</t>
  </si>
  <si>
    <t>Vervaardiging van machines voor de metaalbewerking</t>
  </si>
  <si>
    <t>Vervaardiging van machines voor de winning van delfstoffen en voor de bouw</t>
  </si>
  <si>
    <t>Vervaardiging van andere machines, apparaten en werktuigen voor specifieke doeleinden, n.e.g.</t>
  </si>
  <si>
    <t>Vervaardiging van auto's, aanhangwagens en opleggers</t>
  </si>
  <si>
    <t>Vervaardiging van auto's</t>
  </si>
  <si>
    <t>Vervaardiging van andere transportmiddelen</t>
  </si>
  <si>
    <t>Bouw van schepen en drijvend materieel</t>
  </si>
  <si>
    <t>Bouw van plezier- en sportvaartuigen</t>
  </si>
  <si>
    <t>Vervaardiging van rollend materieel voor spoorwegen</t>
  </si>
  <si>
    <t>Vervaardiging van lucht- en ruimtevaartuigen en van toestellen in verband daarmee</t>
  </si>
  <si>
    <t>Vervaardiging van militaire gevechtsvoertuigen</t>
  </si>
  <si>
    <t>Vervaardiging van transportmiddelen, n.e.g.</t>
  </si>
  <si>
    <t>Vervaardiging van motorfietsen</t>
  </si>
  <si>
    <t>Vervaardiging van meubelen</t>
  </si>
  <si>
    <t>Vervaardiging van kantoor- en winkelmeubelen</t>
  </si>
  <si>
    <t>Vervaardiging van keukenmeubelen</t>
  </si>
  <si>
    <t>Vervaardiging van andere meubelen</t>
  </si>
  <si>
    <t>Reparatie van producten van metaal</t>
  </si>
  <si>
    <t>Reparatie van machines</t>
  </si>
  <si>
    <t>Reparatie en onderhoud van schepen</t>
  </si>
  <si>
    <t>Repair and maintenance of other transport equipment</t>
  </si>
  <si>
    <t>Installatie van industriële machines, toestellen en werktuigen</t>
  </si>
  <si>
    <t>Productie en distributie van elektriciteit, gas, stoom en gekoelde lucht</t>
  </si>
  <si>
    <t>Productie van elektriciteit</t>
  </si>
  <si>
    <t>Productie van elektriciteit door thermische en nucleaire installaties</t>
  </si>
  <si>
    <t>Winning, behandeling en distributie van water</t>
  </si>
  <si>
    <t>Inzameling, verwerking en verwijdering van afval; terugwinning</t>
  </si>
  <si>
    <t>Inzameling van afval</t>
  </si>
  <si>
    <t>Inzameling van ongevaarlijk afval</t>
  </si>
  <si>
    <t>Inzameling van gevaarlijk afval</t>
  </si>
  <si>
    <t>Verwerking en verwijdering van afval</t>
  </si>
  <si>
    <t>Verwerking en verwijdering van ongevaarlijk afval</t>
  </si>
  <si>
    <t>Behandeling en verwijdering van gevaarlijk afval</t>
  </si>
  <si>
    <t>Terugwinning van gesorteerd materiaal</t>
  </si>
  <si>
    <t>Sanering en ander afvalbeheer</t>
  </si>
  <si>
    <t>Burgerlijke en utiliteitsbouw</t>
  </si>
  <si>
    <t>Weg- en waterbouw</t>
  </si>
  <si>
    <t>Bouw van autowegen en andere wegen</t>
  </si>
  <si>
    <t>Bouw van civieltechnische werken voor vloeistoffen</t>
  </si>
  <si>
    <t>Gespecialiseerde bouwwerkzaamheden</t>
  </si>
  <si>
    <t>Groot- en detailhandel en reparatie van auto's en motorfietsen</t>
  </si>
  <si>
    <t>Handel in auto's</t>
  </si>
  <si>
    <t>Handel in personenauto's en andere lichte auto's</t>
  </si>
  <si>
    <t>Onderhoud en reparatie van motorvoertuigen</t>
  </si>
  <si>
    <t>Groothandel in delen en toebehoren van auto's</t>
  </si>
  <si>
    <t>Groothandel, met uitzondering van de handel in auto's en motorfietsen</t>
  </si>
  <si>
    <t>Groothandel in granen, ruwe tabak, zaden en diervoeders</t>
  </si>
  <si>
    <t>Groothandel in zuivelproducten, eieren en spijsoliën en -vetten</t>
  </si>
  <si>
    <t>Groothandel in porselein, glaswerk en reinigingsmiddelen</t>
  </si>
  <si>
    <t>Groothandel in farmaceutische producten</t>
  </si>
  <si>
    <t>Groothandel in meubelen, vloerbedekkingen en verlichtingsbenodigdheden</t>
  </si>
  <si>
    <t>Groothandel in computers, randapparatuur en software</t>
  </si>
  <si>
    <t>Groothandel in elektronische en telecommunicatieapparatuur en delen daarvan</t>
  </si>
  <si>
    <t>Groothandel in gereedschapswerktuigen</t>
  </si>
  <si>
    <t>Groothandel in andere machines en werktuigen</t>
  </si>
  <si>
    <t>Groothandel in vaste, vloeibare en gasvormige brandstoffen en aanverwante producten</t>
  </si>
  <si>
    <t>Groothandel in metalen en metaalertsen</t>
  </si>
  <si>
    <t>Groothandel in hout, bouwmaterialen en sanitair</t>
  </si>
  <si>
    <t>Groothandel in andere intermediaire producten</t>
  </si>
  <si>
    <t>Groothandel in afval en schroot</t>
  </si>
  <si>
    <t>Vervoer over land en vervoer via pijpleidingen</t>
  </si>
  <si>
    <t>Goederenvervoer over de weg</t>
  </si>
  <si>
    <t>Vervoer via pijpleidingen</t>
  </si>
  <si>
    <t>Vervoer over water</t>
  </si>
  <si>
    <t>Opslag en vervoerondersteunende activiteiten</t>
  </si>
  <si>
    <t>Diensten in verband met vervoer over water</t>
  </si>
  <si>
    <t>Diensten in verband met de luchtvaart</t>
  </si>
  <si>
    <t>Posterijen en koeriersdiensten</t>
  </si>
  <si>
    <t>Overige uitgeverijen</t>
  </si>
  <si>
    <t>Speur- en ontwikkelingswerk op biotechnologisch gebied</t>
  </si>
  <si>
    <t>Overig speur- en ontwikkelingswerk op natuurwetenschappelijk gebied</t>
  </si>
  <si>
    <t>Diensten in verband met gebouwen; landschapsverzorging</t>
  </si>
  <si>
    <t>Voortgezet technisch en beroepsonderwijs</t>
  </si>
  <si>
    <t>Tertiair onderwijs</t>
  </si>
  <si>
    <t>Sport- en recreatieonderwijs</t>
  </si>
  <si>
    <t>Sport, ontspanning en recreatie</t>
  </si>
  <si>
    <t>Activiteiten van andere membershiporganisaties n.e.g.</t>
  </si>
  <si>
    <t>Overige persoonlijke diensten</t>
  </si>
  <si>
    <t>Wassen en (chemisch) reinigen van textiel en bontproducten</t>
  </si>
  <si>
    <t>Chemische wasserijen en ververijen</t>
  </si>
  <si>
    <t>Crematoria, mortuaria en begraafplaatsen</t>
  </si>
  <si>
    <t>Vervaardiging van carrosserieën voor auto's; vervaardiging van aanhangwagens en opleggers</t>
  </si>
  <si>
    <t>Bijlage 3 van achtergrondinformatie ZZS navigator: Allocatie industriecodes aan Bal-activiteiten (https://rvs.rivm.nl/documenten/achtergrondinformatie-zzs-navigator)</t>
  </si>
  <si>
    <t>3.4.5 e het winnen van steen, mergel, zand, grind of kalk</t>
  </si>
  <si>
    <t>3.4.8 b het slachten van meer dan 10.000 kg levend gewicht aan dieren per week</t>
  </si>
  <si>
    <t>3.4.8 c het maken of bewerken van dierlijke of plantaardige oliën of vetten</t>
  </si>
  <si>
    <t>bal_nr</t>
  </si>
  <si>
    <t>3.3.10 a het verwijderen of nuttig toepassen van gevaarlijke afvalstoffen</t>
  </si>
  <si>
    <t>3.3.10 b het verwijderen of nuttig toepassen van ongevaarlijke afvalstoffen</t>
  </si>
  <si>
    <t>3.3.6 b/c het maken van ijzer of staal</t>
  </si>
  <si>
    <t>3.3.6 e/f het smelten of gieten van ferrometalen</t>
  </si>
  <si>
    <t>3.3.6 g het winnen van ruwe non-ferrometalen uit erts, concentraat of secundaire grondstoffen, het smelten, met inbegrip van het legeren, en het gieten van non-ferrometalen</t>
  </si>
  <si>
    <t>3.3.7 d/e het maken van glas, met inbegrip van het maken van glasvezels</t>
  </si>
  <si>
    <t>3.3.7 a/b het maken van cement, cementklinkers, ongebluste kalk of magnesiumoxide</t>
  </si>
  <si>
    <t>3.3.8 a het maken van organisch-chemische producten</t>
  </si>
  <si>
    <t>3.3.8 b het maken van anorganisch-chemische producten</t>
  </si>
  <si>
    <t>3.4.4 a het behandelen van het oppervlak van metalen of kunststoffen door een elektrolytisch of chemisch procedé</t>
  </si>
  <si>
    <t>3.4.4 b het verwerken van metalen door smeden met hamers, smelten, legeren, gieten, walsen, trekken of klinken</t>
  </si>
  <si>
    <t>3.4.9 c het verwerken van elastomeren</t>
  </si>
  <si>
    <t>3.4.9 e het maken van producten van kunststof</t>
  </si>
  <si>
    <t>3.4.7 g het maken van producten van papier, karton, hout, textiel of leer</t>
  </si>
  <si>
    <t>3.4.7 c het maken van papierstof, papierpulp, papier of karton</t>
  </si>
  <si>
    <t>3.4.7 a/d het looien van huiden</t>
  </si>
  <si>
    <t>3.4.6 e het maken van schoonmaakmiddelen of cosmetica</t>
  </si>
  <si>
    <t>3.4.6 a het maken van elastomeren, verf, lak, drukinkt, lijm, waspoeder of enzymen</t>
  </si>
  <si>
    <t>3.3.8 c het maken van fosfaat-, stikstof- of kaliumhoudende meststoffen</t>
  </si>
  <si>
    <t>3.3.8 d het maken van producten voor gewasbescherming of van biociden</t>
  </si>
  <si>
    <t>3.4.5 a/c het maken van keramische producten door verhitting</t>
  </si>
  <si>
    <t>3.4.4 d het behandelen van de oppervlakte van metalen door een elektrolytisch of chemisch procedé</t>
  </si>
  <si>
    <t>3.4.4 f het maken van producten van metaal</t>
  </si>
  <si>
    <t>3.4.11 a het maken van vaartuigen of drijvende werktuigen</t>
  </si>
  <si>
    <t>3.4.11 b het onderhouden, repareren en schoonmaken van vaartuigen of drijvende werktuigen, als dat geheel of gedeeltelijk op de wal of in een drijvend dok gebeurt</t>
  </si>
  <si>
    <t>3.3.8 e het maken van farmaceutische producten</t>
  </si>
  <si>
    <t>3.4.5 f het breken, malen, zeven of drogen van mergel, zand, grind, kalk, steenkolen of andere mineralen of derivaten daarvan</t>
  </si>
  <si>
    <t>3.4.5 h het maken van betonmortel of producten van betonmortel</t>
  </si>
  <si>
    <t>96,012</t>
  </si>
  <si>
    <t>96,032</t>
  </si>
  <si>
    <t>19,201</t>
  </si>
  <si>
    <t>20,141</t>
  </si>
  <si>
    <t>20,149</t>
  </si>
  <si>
    <t>35,111</t>
  </si>
  <si>
    <t>In onderstaande tabel is de industrie-categorie gekoppeld aan een of meerdere Bal-activiteiten. Data is opgehaald op 27 juni 2023. De kolom SBI_bedrijvenopkaart is toegevoegd om de SBI format afkomstig van de Bedrijvenopkaart output te kunnen matchen met balactiviteiten</t>
  </si>
  <si>
    <t>3.3.9 b het voorbehandelen of het verven van textielvezels of textiel</t>
  </si>
  <si>
    <t>Branche</t>
  </si>
  <si>
    <t>Afdeling</t>
  </si>
  <si>
    <t>Subbranche</t>
  </si>
  <si>
    <t>3.3.13 Verbranden van afvalstoffen in een ippc-installatie</t>
  </si>
  <si>
    <t>3.3.7 Complexe minerale industrie</t>
  </si>
  <si>
    <t>3.3.9 a het maken van papierpulp, papier, karton, oriented strand board, spaanplaat of vezelplaat van hout</t>
  </si>
  <si>
    <t>3.4.5 Minerale producten industrie</t>
  </si>
  <si>
    <t>3.4.5 b het maken van producten van glas</t>
  </si>
  <si>
    <t>3.4.6 Chemische producten industrie</t>
  </si>
  <si>
    <t>3.4.8 a het slachten, het bewerken en verwerken van dierlijke en plantaardige grondstoffen voor het maken van levensmiddelen of voeder of het bewerken of verwerken van alleen melk</t>
  </si>
  <si>
    <t>3.4.8 d het maken of bewerken van voedingsmiddelen voor landbouwhuisdieren</t>
  </si>
  <si>
    <t>3.4.8 e het met een stookinstallatie maken van: 1°. zetmeel of suiker, 2°. vismeel of visolie, of 3°. levensmiddelen of voeder.</t>
  </si>
  <si>
    <t>3.5 Afvalbeheer</t>
  </si>
  <si>
    <t>3.5.7 Zuiveringtechnisch werk</t>
  </si>
  <si>
    <t>3.6 Agrarische sector</t>
  </si>
  <si>
    <t>3.7 Dienstverlening, onderwijs en zorg</t>
  </si>
  <si>
    <t>3.8 Transport, logistiek en ondersteuning daarvan</t>
  </si>
  <si>
    <t>3.9 Sport en recreatie</t>
  </si>
  <si>
    <t>3.3 Complexe bedrijven</t>
  </si>
  <si>
    <t>3.11 Defensie</t>
  </si>
  <si>
    <t>Bal_activiteit</t>
  </si>
  <si>
    <t>Subbrance</t>
  </si>
  <si>
    <t>3.10 Mijnbouw</t>
  </si>
  <si>
    <t>3.2 Activiteiten die bedrijfstakken overstijgen</t>
  </si>
  <si>
    <t>3.4 Nutssector en industrie</t>
  </si>
  <si>
    <t>3.3.10 Afvalbeheer ippc-installaties</t>
  </si>
  <si>
    <t>3.3.9 Complexe papierindustrie, houtindustrie en textielindustrie</t>
  </si>
  <si>
    <t>3.4.11 Scheepswerven</t>
  </si>
  <si>
    <t>omschrijving</t>
  </si>
  <si>
    <t>SBI_naam</t>
  </si>
  <si>
    <t>SBI_bijlage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</si>
</sst>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2" borderId="1" xfId="0" applyFill="1" applyBorder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D30FFDC-2A65-47CA-8446-BB0557FAD9AF}" name="Table30" displayName="Table30" ref="A3:F361" totalsRowShown="0">
  <autoFilter ref="A3:F361" xr:uid="{4D30FFDC-2A65-47CA-8446-BB0557FAD9AF}"/>
  <sortState xmlns:xlrd2="http://schemas.microsoft.com/office/spreadsheetml/2017/richdata2" ref="A4:F361">
    <sortCondition ref="C3:C361"/>
  </sortState>
  <tableColumns count="6">
    <tableColumn id="1" xr3:uid="{A389B0B9-5252-43B7-A3A0-F9F1034B9535}" name="SBI_bijlage" dataDxfId="7"/>
    <tableColumn id="2" xr3:uid="{B14FF01A-1B19-452C-9425-0996DCA6D7A1}" name="SBI_naam" dataDxfId="6"/>
    <tableColumn id="3" xr3:uid="{B70AE967-0FC8-4D98-9D86-1FA2E36EABEC}" name="Afdeling" dataDxfId="5">
      <calculatedColumnFormula>IF(VLOOKUP(Table30[[#This Row],[bal_nr]],Table2[#All],3,FALSE)=0,"",VLOOKUP(Table30[[#This Row],[bal_nr]],Table2[#All],3,FALSE))</calculatedColumnFormula>
    </tableColumn>
    <tableColumn id="7" xr3:uid="{9AB1EF3A-5E61-4DF7-8B38-03F1A3181D50}" name="Branche" dataDxfId="4">
      <calculatedColumnFormula>IF(VLOOKUP(Table30[[#This Row],[bal_nr]],Table2[#All],4,FALSE)=0,"",VLOOKUP(Table30[[#This Row],[bal_nr]],Table2[#All],4,FALSE))</calculatedColumnFormula>
    </tableColumn>
    <tableColumn id="6" xr3:uid="{F8194CD7-F26A-447E-AE12-8AB644783E94}" name="Subbranche" dataDxfId="3">
      <calculatedColumnFormula>IF(VLOOKUP(Table30[[#This Row],[bal_nr]],Table2[#All],5,FALSE)=0,"",VLOOKUP(Table30[[#This Row],[bal_nr]],Table2[#All],5,FALSE))</calculatedColumnFormula>
    </tableColumn>
    <tableColumn id="4" xr3:uid="{04332098-2CAC-456F-8710-B52B38AD37A4}" name="bal_nr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0E6C7C-F64A-41C2-BBFB-DF08D9EC7E77}" name="Table2" displayName="Table2" ref="A1:E82" totalsRowShown="0">
  <autoFilter ref="A1:E82" xr:uid="{260E6C7C-F64A-41C2-BBFB-DF08D9EC7E77}"/>
  <sortState xmlns:xlrd2="http://schemas.microsoft.com/office/spreadsheetml/2017/richdata2" ref="A2:E82">
    <sortCondition ref="C1:C82"/>
  </sortState>
  <tableColumns count="5">
    <tableColumn id="1" xr3:uid="{511373BE-BE6E-439E-AA32-0541C8A526B0}" name="Bal_activiteit" dataDxfId="1"/>
    <tableColumn id="5" xr3:uid="{D549236A-CC90-48FD-B279-F7AA5C6F8A0A}" name="omschrijving" dataDxfId="0"/>
    <tableColumn id="2" xr3:uid="{1D81126F-4AE9-4DC2-90DE-9058356C77B0}" name="Afdeling"/>
    <tableColumn id="3" xr3:uid="{0BE0F131-8F59-4910-B70C-8E1C0B849AE4}" name="Branche"/>
    <tableColumn id="4" xr3:uid="{084BBDA9-244B-4B00-B6D2-3D43FFDDA37F}" name="Subbr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83CA-9A47-43BB-BF55-62B510DCC2D3}">
  <sheetPr codeName="Sheet1"/>
  <dimension ref="A1:F361"/>
  <sheetViews>
    <sheetView tabSelected="1" workbookViewId="0">
      <selection activeCell="C23" sqref="C23"/>
    </sheetView>
  </sheetViews>
  <sheetFormatPr defaultRowHeight="15" x14ac:dyDescent="0.25"/>
  <cols>
    <col min="1" max="1" width="14" customWidth="1"/>
    <col min="2" max="2" width="21.5703125" bestFit="1" customWidth="1"/>
    <col min="3" max="3" width="79.42578125" customWidth="1"/>
    <col min="4" max="4" width="66.5703125" customWidth="1"/>
    <col min="5" max="5" width="21" customWidth="1"/>
    <col min="6" max="6" width="39.28515625" customWidth="1"/>
  </cols>
  <sheetData>
    <row r="1" spans="1:6" ht="18.75" x14ac:dyDescent="0.3">
      <c r="A1" s="3" t="s">
        <v>634</v>
      </c>
    </row>
    <row r="2" spans="1:6" x14ac:dyDescent="0.25">
      <c r="A2" s="5" t="s">
        <v>673</v>
      </c>
    </row>
    <row r="3" spans="1:6" x14ac:dyDescent="0.25">
      <c r="A3" s="4" t="s">
        <v>705</v>
      </c>
      <c r="B3" t="s">
        <v>704</v>
      </c>
      <c r="C3" t="s">
        <v>676</v>
      </c>
      <c r="D3" t="s">
        <v>675</v>
      </c>
      <c r="E3" t="s">
        <v>677</v>
      </c>
      <c r="F3" t="s">
        <v>638</v>
      </c>
    </row>
    <row r="4" spans="1:6" x14ac:dyDescent="0.25">
      <c r="A4" s="1" t="s">
        <v>7</v>
      </c>
      <c r="B4" t="s">
        <v>30</v>
      </c>
      <c r="C4" t="str">
        <f>IF(VLOOKUP(Table30[[#This Row],[bal_nr]],Table2[#All],3,FALSE)=0,"",VLOOKUP(Table30[[#This Row],[bal_nr]],Table2[#All],3,FALSE))</f>
        <v>3.10 Mijnbouw</v>
      </c>
      <c r="D4" t="str">
        <f>IF(VLOOKUP(Table30[[#This Row],[bal_nr]],Table2[#All],4,FALSE)=0,"",VLOOKUP(Table30[[#This Row],[bal_nr]],Table2[#All],4,FALSE))</f>
        <v>3.10.1 Mijnbouw</v>
      </c>
      <c r="E4" t="str">
        <f>IF(VLOOKUP(Table30[[#This Row],[bal_nr]],Table2[#All],5,FALSE)=0,"",VLOOKUP(Table30[[#This Row],[bal_nr]],Table2[#All],5,FALSE))</f>
        <v/>
      </c>
      <c r="F4">
        <v>1</v>
      </c>
    </row>
    <row r="5" spans="1:6" x14ac:dyDescent="0.25">
      <c r="A5" s="1" t="s">
        <v>8</v>
      </c>
      <c r="B5" t="s">
        <v>31</v>
      </c>
      <c r="C5" t="str">
        <f>IF(VLOOKUP(Table30[[#This Row],[bal_nr]],Table2[#All],3,FALSE)=0,"",VLOOKUP(Table30[[#This Row],[bal_nr]],Table2[#All],3,FALSE))</f>
        <v>3.10 Mijnbouw</v>
      </c>
      <c r="D5" t="str">
        <f>IF(VLOOKUP(Table30[[#This Row],[bal_nr]],Table2[#All],4,FALSE)=0,"",VLOOKUP(Table30[[#This Row],[bal_nr]],Table2[#All],4,FALSE))</f>
        <v>3.10.1 Mijnbouw</v>
      </c>
      <c r="E5" t="str">
        <f>IF(VLOOKUP(Table30[[#This Row],[bal_nr]],Table2[#All],5,FALSE)=0,"",VLOOKUP(Table30[[#This Row],[bal_nr]],Table2[#All],5,FALSE))</f>
        <v/>
      </c>
      <c r="F5">
        <v>1</v>
      </c>
    </row>
    <row r="6" spans="1:6" x14ac:dyDescent="0.25">
      <c r="A6" s="1" t="s">
        <v>9</v>
      </c>
      <c r="B6" t="s">
        <v>32</v>
      </c>
      <c r="C6" t="str">
        <f>IF(VLOOKUP(Table30[[#This Row],[bal_nr]],Table2[#All],3,FALSE)=0,"",VLOOKUP(Table30[[#This Row],[bal_nr]],Table2[#All],3,FALSE))</f>
        <v>3.10 Mijnbouw</v>
      </c>
      <c r="D6" t="str">
        <f>IF(VLOOKUP(Table30[[#This Row],[bal_nr]],Table2[#All],4,FALSE)=0,"",VLOOKUP(Table30[[#This Row],[bal_nr]],Table2[#All],4,FALSE))</f>
        <v>3.10.1 Mijnbouw</v>
      </c>
      <c r="E6" t="str">
        <f>IF(VLOOKUP(Table30[[#This Row],[bal_nr]],Table2[#All],5,FALSE)=0,"",VLOOKUP(Table30[[#This Row],[bal_nr]],Table2[#All],5,FALSE))</f>
        <v/>
      </c>
      <c r="F6">
        <v>1</v>
      </c>
    </row>
    <row r="7" spans="1:6" x14ac:dyDescent="0.25">
      <c r="A7" s="1" t="s">
        <v>10</v>
      </c>
      <c r="B7" t="s">
        <v>33</v>
      </c>
      <c r="C7" t="str">
        <f>IF(VLOOKUP(Table30[[#This Row],[bal_nr]],Table2[#All],3,FALSE)=0,"",VLOOKUP(Table30[[#This Row],[bal_nr]],Table2[#All],3,FALSE))</f>
        <v>3.10 Mijnbouw</v>
      </c>
      <c r="D7" t="str">
        <f>IF(VLOOKUP(Table30[[#This Row],[bal_nr]],Table2[#All],4,FALSE)=0,"",VLOOKUP(Table30[[#This Row],[bal_nr]],Table2[#All],4,FALSE))</f>
        <v>3.10.1 Mijnbouw</v>
      </c>
      <c r="E7" t="str">
        <f>IF(VLOOKUP(Table30[[#This Row],[bal_nr]],Table2[#All],5,FALSE)=0,"",VLOOKUP(Table30[[#This Row],[bal_nr]],Table2[#All],5,FALSE))</f>
        <v/>
      </c>
      <c r="F7">
        <v>1</v>
      </c>
    </row>
    <row r="8" spans="1:6" x14ac:dyDescent="0.25">
      <c r="A8" s="1" t="s">
        <v>11</v>
      </c>
      <c r="B8" t="s">
        <v>34</v>
      </c>
      <c r="C8" t="str">
        <f>IF(VLOOKUP(Table30[[#This Row],[bal_nr]],Table2[#All],3,FALSE)=0,"",VLOOKUP(Table30[[#This Row],[bal_nr]],Table2[#All],3,FALSE))</f>
        <v>3.10 Mijnbouw</v>
      </c>
      <c r="D8" t="str">
        <f>IF(VLOOKUP(Table30[[#This Row],[bal_nr]],Table2[#All],4,FALSE)=0,"",VLOOKUP(Table30[[#This Row],[bal_nr]],Table2[#All],4,FALSE))</f>
        <v>3.10.1 Mijnbouw</v>
      </c>
      <c r="E8" t="str">
        <f>IF(VLOOKUP(Table30[[#This Row],[bal_nr]],Table2[#All],5,FALSE)=0,"",VLOOKUP(Table30[[#This Row],[bal_nr]],Table2[#All],5,FALSE))</f>
        <v/>
      </c>
      <c r="F8">
        <v>1</v>
      </c>
    </row>
    <row r="9" spans="1:6" x14ac:dyDescent="0.25">
      <c r="A9" s="1" t="s">
        <v>12</v>
      </c>
      <c r="B9" t="s">
        <v>35</v>
      </c>
      <c r="C9" t="str">
        <f>IF(VLOOKUP(Table30[[#This Row],[bal_nr]],Table2[#All],3,FALSE)=0,"",VLOOKUP(Table30[[#This Row],[bal_nr]],Table2[#All],3,FALSE))</f>
        <v>3.10 Mijnbouw</v>
      </c>
      <c r="D9" t="str">
        <f>IF(VLOOKUP(Table30[[#This Row],[bal_nr]],Table2[#All],4,FALSE)=0,"",VLOOKUP(Table30[[#This Row],[bal_nr]],Table2[#All],4,FALSE))</f>
        <v>3.10.1 Mijnbouw</v>
      </c>
      <c r="E9" t="str">
        <f>IF(VLOOKUP(Table30[[#This Row],[bal_nr]],Table2[#All],5,FALSE)=0,"",VLOOKUP(Table30[[#This Row],[bal_nr]],Table2[#All],5,FALSE))</f>
        <v/>
      </c>
      <c r="F9">
        <v>1</v>
      </c>
    </row>
    <row r="10" spans="1:6" x14ac:dyDescent="0.25">
      <c r="A10" s="1" t="s">
        <v>13</v>
      </c>
      <c r="B10" t="s">
        <v>36</v>
      </c>
      <c r="C10" t="str">
        <f>IF(VLOOKUP(Table30[[#This Row],[bal_nr]],Table2[#All],3,FALSE)=0,"",VLOOKUP(Table30[[#This Row],[bal_nr]],Table2[#All],3,FALSE))</f>
        <v>3.10 Mijnbouw</v>
      </c>
      <c r="D10" t="str">
        <f>IF(VLOOKUP(Table30[[#This Row],[bal_nr]],Table2[#All],4,FALSE)=0,"",VLOOKUP(Table30[[#This Row],[bal_nr]],Table2[#All],4,FALSE))</f>
        <v>3.10.1 Mijnbouw</v>
      </c>
      <c r="E10" t="str">
        <f>IF(VLOOKUP(Table30[[#This Row],[bal_nr]],Table2[#All],5,FALSE)=0,"",VLOOKUP(Table30[[#This Row],[bal_nr]],Table2[#All],5,FALSE))</f>
        <v/>
      </c>
      <c r="F10">
        <v>1</v>
      </c>
    </row>
    <row r="11" spans="1:6" x14ac:dyDescent="0.25">
      <c r="A11" s="1" t="s">
        <v>14</v>
      </c>
      <c r="B11" t="s">
        <v>37</v>
      </c>
      <c r="C11" t="str">
        <f>IF(VLOOKUP(Table30[[#This Row],[bal_nr]],Table2[#All],3,FALSE)=0,"",VLOOKUP(Table30[[#This Row],[bal_nr]],Table2[#All],3,FALSE))</f>
        <v>3.10 Mijnbouw</v>
      </c>
      <c r="D11" t="str">
        <f>IF(VLOOKUP(Table30[[#This Row],[bal_nr]],Table2[#All],4,FALSE)=0,"",VLOOKUP(Table30[[#This Row],[bal_nr]],Table2[#All],4,FALSE))</f>
        <v>3.10.1 Mijnbouw</v>
      </c>
      <c r="E11" t="str">
        <f>IF(VLOOKUP(Table30[[#This Row],[bal_nr]],Table2[#All],5,FALSE)=0,"",VLOOKUP(Table30[[#This Row],[bal_nr]],Table2[#All],5,FALSE))</f>
        <v/>
      </c>
      <c r="F11">
        <v>1</v>
      </c>
    </row>
    <row r="12" spans="1:6" x14ac:dyDescent="0.25">
      <c r="A12" s="1" t="s">
        <v>16</v>
      </c>
      <c r="B12" t="s">
        <v>38</v>
      </c>
      <c r="C12" t="str">
        <f>IF(VLOOKUP(Table30[[#This Row],[bal_nr]],Table2[#All],3,FALSE)=0,"",VLOOKUP(Table30[[#This Row],[bal_nr]],Table2[#All],3,FALSE))</f>
        <v>3.10 Mijnbouw</v>
      </c>
      <c r="D12" t="str">
        <f>IF(VLOOKUP(Table30[[#This Row],[bal_nr]],Table2[#All],4,FALSE)=0,"",VLOOKUP(Table30[[#This Row],[bal_nr]],Table2[#All],4,FALSE))</f>
        <v>3.10.1 Mijnbouw</v>
      </c>
      <c r="E12" t="str">
        <f>IF(VLOOKUP(Table30[[#This Row],[bal_nr]],Table2[#All],5,FALSE)=0,"",VLOOKUP(Table30[[#This Row],[bal_nr]],Table2[#All],5,FALSE))</f>
        <v/>
      </c>
      <c r="F12">
        <v>1</v>
      </c>
    </row>
    <row r="13" spans="1:6" x14ac:dyDescent="0.25">
      <c r="A13" s="1" t="s">
        <v>17</v>
      </c>
      <c r="B13" t="s">
        <v>39</v>
      </c>
      <c r="C13" t="str">
        <f>IF(VLOOKUP(Table30[[#This Row],[bal_nr]],Table2[#All],3,FALSE)=0,"",VLOOKUP(Table30[[#This Row],[bal_nr]],Table2[#All],3,FALSE))</f>
        <v>3.10 Mijnbouw</v>
      </c>
      <c r="D13" t="str">
        <f>IF(VLOOKUP(Table30[[#This Row],[bal_nr]],Table2[#All],4,FALSE)=0,"",VLOOKUP(Table30[[#This Row],[bal_nr]],Table2[#All],4,FALSE))</f>
        <v>3.10.1 Mijnbouw</v>
      </c>
      <c r="E13" t="str">
        <f>IF(VLOOKUP(Table30[[#This Row],[bal_nr]],Table2[#All],5,FALSE)=0,"",VLOOKUP(Table30[[#This Row],[bal_nr]],Table2[#All],5,FALSE))</f>
        <v/>
      </c>
      <c r="F13">
        <v>1</v>
      </c>
    </row>
    <row r="14" spans="1:6" x14ac:dyDescent="0.25">
      <c r="A14" s="1" t="s">
        <v>18</v>
      </c>
      <c r="B14" t="s">
        <v>40</v>
      </c>
      <c r="C14" t="str">
        <f>IF(VLOOKUP(Table30[[#This Row],[bal_nr]],Table2[#All],3,FALSE)=0,"",VLOOKUP(Table30[[#This Row],[bal_nr]],Table2[#All],3,FALSE))</f>
        <v>3.10 Mijnbouw</v>
      </c>
      <c r="D14" t="str">
        <f>IF(VLOOKUP(Table30[[#This Row],[bal_nr]],Table2[#All],4,FALSE)=0,"",VLOOKUP(Table30[[#This Row],[bal_nr]],Table2[#All],4,FALSE))</f>
        <v>3.10.1 Mijnbouw</v>
      </c>
      <c r="E14" t="str">
        <f>IF(VLOOKUP(Table30[[#This Row],[bal_nr]],Table2[#All],5,FALSE)=0,"",VLOOKUP(Table30[[#This Row],[bal_nr]],Table2[#All],5,FALSE))</f>
        <v/>
      </c>
      <c r="F14">
        <v>1</v>
      </c>
    </row>
    <row r="15" spans="1:6" x14ac:dyDescent="0.25">
      <c r="A15" s="1" t="s">
        <v>19</v>
      </c>
      <c r="B15" t="s">
        <v>41</v>
      </c>
      <c r="C15" t="str">
        <f>IF(VLOOKUP(Table30[[#This Row],[bal_nr]],Table2[#All],3,FALSE)=0,"",VLOOKUP(Table30[[#This Row],[bal_nr]],Table2[#All],3,FALSE))</f>
        <v>3.10 Mijnbouw</v>
      </c>
      <c r="D15" t="str">
        <f>IF(VLOOKUP(Table30[[#This Row],[bal_nr]],Table2[#All],4,FALSE)=0,"",VLOOKUP(Table30[[#This Row],[bal_nr]],Table2[#All],4,FALSE))</f>
        <v>3.10.1 Mijnbouw</v>
      </c>
      <c r="E15" t="str">
        <f>IF(VLOOKUP(Table30[[#This Row],[bal_nr]],Table2[#All],5,FALSE)=0,"",VLOOKUP(Table30[[#This Row],[bal_nr]],Table2[#All],5,FALSE))</f>
        <v/>
      </c>
      <c r="F15">
        <v>1</v>
      </c>
    </row>
    <row r="16" spans="1:6" x14ac:dyDescent="0.25">
      <c r="A16" s="1" t="s">
        <v>20</v>
      </c>
      <c r="B16" t="s">
        <v>42</v>
      </c>
      <c r="C16" t="str">
        <f>IF(VLOOKUP(Table30[[#This Row],[bal_nr]],Table2[#All],3,FALSE)=0,"",VLOOKUP(Table30[[#This Row],[bal_nr]],Table2[#All],3,FALSE))</f>
        <v>3.10 Mijnbouw</v>
      </c>
      <c r="D16" t="str">
        <f>IF(VLOOKUP(Table30[[#This Row],[bal_nr]],Table2[#All],4,FALSE)=0,"",VLOOKUP(Table30[[#This Row],[bal_nr]],Table2[#All],4,FALSE))</f>
        <v>3.10.1 Mijnbouw</v>
      </c>
      <c r="E16" t="str">
        <f>IF(VLOOKUP(Table30[[#This Row],[bal_nr]],Table2[#All],5,FALSE)=0,"",VLOOKUP(Table30[[#This Row],[bal_nr]],Table2[#All],5,FALSE))</f>
        <v/>
      </c>
      <c r="F16">
        <v>1</v>
      </c>
    </row>
    <row r="17" spans="1:6" x14ac:dyDescent="0.25">
      <c r="A17" s="1" t="s">
        <v>155</v>
      </c>
      <c r="B17" t="s">
        <v>574</v>
      </c>
      <c r="C17" t="str">
        <f>IF(VLOOKUP(Table30[[#This Row],[bal_nr]],Table2[#All],3,FALSE)=0,"",VLOOKUP(Table30[[#This Row],[bal_nr]],Table2[#All],3,FALSE))</f>
        <v>3.2 Activiteiten die bedrijfstakken overstijgen</v>
      </c>
      <c r="D17" t="str">
        <f>IF(VLOOKUP(Table30[[#This Row],[bal_nr]],Table2[#All],4,FALSE)=0,"",VLOOKUP(Table30[[#This Row],[bal_nr]],Table2[#All],4,FALSE))</f>
        <v>3.2.1 Stookinstallatie</v>
      </c>
      <c r="E17" t="str">
        <f>IF(VLOOKUP(Table30[[#This Row],[bal_nr]],Table2[#All],5,FALSE)=0,"",VLOOKUP(Table30[[#This Row],[bal_nr]],Table2[#All],5,FALSE))</f>
        <v/>
      </c>
      <c r="F17">
        <v>2</v>
      </c>
    </row>
    <row r="18" spans="1:6" x14ac:dyDescent="0.25">
      <c r="A18" s="1" t="s">
        <v>672</v>
      </c>
      <c r="B18" t="s">
        <v>576</v>
      </c>
      <c r="C18" t="str">
        <f>IF(VLOOKUP(Table30[[#This Row],[bal_nr]],Table2[#All],3,FALSE)=0,"",VLOOKUP(Table30[[#This Row],[bal_nr]],Table2[#All],3,FALSE))</f>
        <v>3.2 Activiteiten die bedrijfstakken overstijgen</v>
      </c>
      <c r="D18" t="str">
        <f>IF(VLOOKUP(Table30[[#This Row],[bal_nr]],Table2[#All],4,FALSE)=0,"",VLOOKUP(Table30[[#This Row],[bal_nr]],Table2[#All],4,FALSE))</f>
        <v>3.2.1 Stookinstallatie</v>
      </c>
      <c r="E18" t="str">
        <f>IF(VLOOKUP(Table30[[#This Row],[bal_nr]],Table2[#All],5,FALSE)=0,"",VLOOKUP(Table30[[#This Row],[bal_nr]],Table2[#All],5,FALSE))</f>
        <v/>
      </c>
      <c r="F18">
        <v>2</v>
      </c>
    </row>
    <row r="19" spans="1:6" x14ac:dyDescent="0.25">
      <c r="A19" s="1" t="s">
        <v>158</v>
      </c>
      <c r="B19" t="s">
        <v>153</v>
      </c>
      <c r="C19" t="str">
        <f>IF(VLOOKUP(Table30[[#This Row],[bal_nr]],Table2[#All],3,FALSE)=0,"",VLOOKUP(Table30[[#This Row],[bal_nr]],Table2[#All],3,FALSE))</f>
        <v>3.2 Activiteiten die bedrijfstakken overstijgen</v>
      </c>
      <c r="D19" t="str">
        <f>IF(VLOOKUP(Table30[[#This Row],[bal_nr]],Table2[#All],4,FALSE)=0,"",VLOOKUP(Table30[[#This Row],[bal_nr]],Table2[#All],4,FALSE))</f>
        <v>3.2.17 Zuiveringsvoorziening voor ingezameld of afgegeven afvalwater</v>
      </c>
      <c r="E19" t="str">
        <f>IF(VLOOKUP(Table30[[#This Row],[bal_nr]],Table2[#All],5,FALSE)=0,"",VLOOKUP(Table30[[#This Row],[bal_nr]],Table2[#All],5,FALSE))</f>
        <v/>
      </c>
      <c r="F19">
        <v>3</v>
      </c>
    </row>
    <row r="20" spans="1:6" x14ac:dyDescent="0.25">
      <c r="A20" s="1" t="s">
        <v>168</v>
      </c>
      <c r="B20" t="s">
        <v>586</v>
      </c>
      <c r="C20" t="str">
        <f>IF(VLOOKUP(Table30[[#This Row],[bal_nr]],Table2[#All],3,FALSE)=0,"",VLOOKUP(Table30[[#This Row],[bal_nr]],Table2[#All],3,FALSE))</f>
        <v>3.2 Activiteiten die bedrijfstakken overstijgen</v>
      </c>
      <c r="D20" t="str">
        <f>IF(VLOOKUP(Table30[[#This Row],[bal_nr]],Table2[#All],4,FALSE)=0,"",VLOOKUP(Table30[[#This Row],[bal_nr]],Table2[#All],4,FALSE))</f>
        <v>3.2.23 Saneren van de bodem</v>
      </c>
      <c r="E20" t="str">
        <f>IF(VLOOKUP(Table30[[#This Row],[bal_nr]],Table2[#All],5,FALSE)=0,"",VLOOKUP(Table30[[#This Row],[bal_nr]],Table2[#All],5,FALSE))</f>
        <v/>
      </c>
      <c r="F20">
        <v>4</v>
      </c>
    </row>
    <row r="21" spans="1:6" x14ac:dyDescent="0.25">
      <c r="A21" s="1" t="s">
        <v>165</v>
      </c>
      <c r="B21" t="s">
        <v>584</v>
      </c>
      <c r="C21" t="str">
        <f>IF(VLOOKUP(Table30[[#This Row],[bal_nr]],Table2[#All],3,FALSE)=0,"",VLOOKUP(Table30[[#This Row],[bal_nr]],Table2[#All],3,FALSE))</f>
        <v>3.3 Complexe bedrijven</v>
      </c>
      <c r="D21" t="str">
        <f>IF(VLOOKUP(Table30[[#This Row],[bal_nr]],Table2[#All],4,FALSE)=0,"",VLOOKUP(Table30[[#This Row],[bal_nr]],Table2[#All],4,FALSE))</f>
        <v>3.3.10 Afvalbeheer ippc-installaties</v>
      </c>
      <c r="E21" t="str">
        <f>IF(VLOOKUP(Table30[[#This Row],[bal_nr]],Table2[#All],5,FALSE)=0,"",VLOOKUP(Table30[[#This Row],[bal_nr]],Table2[#All],5,FALSE))</f>
        <v>3.3.10 a het verwijderen of nuttig toepassen van gevaarlijke afvalstoffen</v>
      </c>
      <c r="F21">
        <v>5</v>
      </c>
    </row>
    <row r="22" spans="1:6" x14ac:dyDescent="0.25">
      <c r="A22" s="1" t="s">
        <v>164</v>
      </c>
      <c r="B22" t="s">
        <v>583</v>
      </c>
      <c r="C22" t="str">
        <f>IF(VLOOKUP(Table30[[#This Row],[bal_nr]],Table2[#All],3,FALSE)=0,"",VLOOKUP(Table30[[#This Row],[bal_nr]],Table2[#All],3,FALSE))</f>
        <v>3.3 Complexe bedrijven</v>
      </c>
      <c r="D22" t="str">
        <f>IF(VLOOKUP(Table30[[#This Row],[bal_nr]],Table2[#All],4,FALSE)=0,"",VLOOKUP(Table30[[#This Row],[bal_nr]],Table2[#All],4,FALSE))</f>
        <v>3.3.10 Afvalbeheer ippc-installaties</v>
      </c>
      <c r="E22" t="str">
        <f>IF(VLOOKUP(Table30[[#This Row],[bal_nr]],Table2[#All],5,FALSE)=0,"",VLOOKUP(Table30[[#This Row],[bal_nr]],Table2[#All],5,FALSE))</f>
        <v>3.3.10 b het verwijderen of nuttig toepassen van ongevaarlijke afvalstoffen</v>
      </c>
      <c r="F22">
        <v>6</v>
      </c>
    </row>
    <row r="23" spans="1:6" x14ac:dyDescent="0.25">
      <c r="A23" s="1" t="s">
        <v>163</v>
      </c>
      <c r="B23" t="s">
        <v>582</v>
      </c>
      <c r="C23" t="str">
        <f>IF(VLOOKUP(Table30[[#This Row],[bal_nr]],Table2[#All],3,FALSE)=0,"",VLOOKUP(Table30[[#This Row],[bal_nr]],Table2[#All],3,FALSE))</f>
        <v>3.3 Complexe bedrijven</v>
      </c>
      <c r="D23" t="str">
        <f>IF(VLOOKUP(Table30[[#This Row],[bal_nr]],Table2[#All],4,FALSE)=0,"",VLOOKUP(Table30[[#This Row],[bal_nr]],Table2[#All],4,FALSE))</f>
        <v>3.3.13 Verbranden van afvalstoffen in een ippc-installatie</v>
      </c>
      <c r="E23" t="str">
        <f>IF(VLOOKUP(Table30[[#This Row],[bal_nr]],Table2[#All],5,FALSE)=0,"",VLOOKUP(Table30[[#This Row],[bal_nr]],Table2[#All],5,FALSE))</f>
        <v/>
      </c>
      <c r="F23">
        <v>7</v>
      </c>
    </row>
    <row r="24" spans="1:6" x14ac:dyDescent="0.25">
      <c r="A24" s="1" t="s">
        <v>155</v>
      </c>
      <c r="B24" t="s">
        <v>574</v>
      </c>
      <c r="C24" t="str">
        <f>IF(VLOOKUP(Table30[[#This Row],[bal_nr]],Table2[#All],3,FALSE)=0,"",VLOOKUP(Table30[[#This Row],[bal_nr]],Table2[#All],3,FALSE))</f>
        <v>3.3 Complexe bedrijven</v>
      </c>
      <c r="D24" t="str">
        <f>IF(VLOOKUP(Table30[[#This Row],[bal_nr]],Table2[#All],4,FALSE)=0,"",VLOOKUP(Table30[[#This Row],[bal_nr]],Table2[#All],4,FALSE))</f>
        <v>3.3.2 Grootschalige Energieopwekking</v>
      </c>
      <c r="E24" t="str">
        <f>IF(VLOOKUP(Table30[[#This Row],[bal_nr]],Table2[#All],5,FALSE)=0,"",VLOOKUP(Table30[[#This Row],[bal_nr]],Table2[#All],5,FALSE))</f>
        <v/>
      </c>
      <c r="F24">
        <v>8</v>
      </c>
    </row>
    <row r="25" spans="1:6" x14ac:dyDescent="0.25">
      <c r="A25" s="1" t="s">
        <v>156</v>
      </c>
      <c r="B25" t="s">
        <v>575</v>
      </c>
      <c r="C25" t="str">
        <f>IF(VLOOKUP(Table30[[#This Row],[bal_nr]],Table2[#All],3,FALSE)=0,"",VLOOKUP(Table30[[#This Row],[bal_nr]],Table2[#All],3,FALSE))</f>
        <v>3.3 Complexe bedrijven</v>
      </c>
      <c r="D25" t="str">
        <f>IF(VLOOKUP(Table30[[#This Row],[bal_nr]],Table2[#All],4,FALSE)=0,"",VLOOKUP(Table30[[#This Row],[bal_nr]],Table2[#All],4,FALSE))</f>
        <v>3.3.2 Grootschalige Energieopwekking</v>
      </c>
      <c r="E25" t="str">
        <f>IF(VLOOKUP(Table30[[#This Row],[bal_nr]],Table2[#All],5,FALSE)=0,"",VLOOKUP(Table30[[#This Row],[bal_nr]],Table2[#All],5,FALSE))</f>
        <v/>
      </c>
      <c r="F25">
        <v>8</v>
      </c>
    </row>
    <row r="26" spans="1:6" x14ac:dyDescent="0.25">
      <c r="A26" s="1" t="s">
        <v>672</v>
      </c>
      <c r="B26" t="s">
        <v>576</v>
      </c>
      <c r="C26" t="str">
        <f>IF(VLOOKUP(Table30[[#This Row],[bal_nr]],Table2[#All],3,FALSE)=0,"",VLOOKUP(Table30[[#This Row],[bal_nr]],Table2[#All],3,FALSE))</f>
        <v>3.3 Complexe bedrijven</v>
      </c>
      <c r="D26" t="str">
        <f>IF(VLOOKUP(Table30[[#This Row],[bal_nr]],Table2[#All],4,FALSE)=0,"",VLOOKUP(Table30[[#This Row],[bal_nr]],Table2[#All],4,FALSE))</f>
        <v>3.3.2 Grootschalige Energieopwekking</v>
      </c>
      <c r="E26" t="str">
        <f>IF(VLOOKUP(Table30[[#This Row],[bal_nr]],Table2[#All],5,FALSE)=0,"",VLOOKUP(Table30[[#This Row],[bal_nr]],Table2[#All],5,FALSE))</f>
        <v/>
      </c>
      <c r="F26">
        <v>8</v>
      </c>
    </row>
    <row r="27" spans="1:6" x14ac:dyDescent="0.25">
      <c r="A27" s="1" t="s">
        <v>280</v>
      </c>
      <c r="B27" t="s">
        <v>431</v>
      </c>
      <c r="C27" t="str">
        <f>IF(VLOOKUP(Table30[[#This Row],[bal_nr]],Table2[#All],3,FALSE)=0,"",VLOOKUP(Table30[[#This Row],[bal_nr]],Table2[#All],3,FALSE))</f>
        <v>3.3 Complexe bedrijven</v>
      </c>
      <c r="D27" t="str">
        <f>IF(VLOOKUP(Table30[[#This Row],[bal_nr]],Table2[#All],4,FALSE)=0,"",VLOOKUP(Table30[[#This Row],[bal_nr]],Table2[#All],4,FALSE))</f>
        <v>3.3.3 Raffinaderij</v>
      </c>
      <c r="E27" t="str">
        <f>IF(VLOOKUP(Table30[[#This Row],[bal_nr]],Table2[#All],5,FALSE)=0,"",VLOOKUP(Table30[[#This Row],[bal_nr]],Table2[#All],5,FALSE))</f>
        <v/>
      </c>
      <c r="F27">
        <v>9</v>
      </c>
    </row>
    <row r="28" spans="1:6" x14ac:dyDescent="0.25">
      <c r="A28" s="1" t="s">
        <v>282</v>
      </c>
      <c r="B28" t="s">
        <v>433</v>
      </c>
      <c r="C28" t="str">
        <f>IF(VLOOKUP(Table30[[#This Row],[bal_nr]],Table2[#All],3,FALSE)=0,"",VLOOKUP(Table30[[#This Row],[bal_nr]],Table2[#All],3,FALSE))</f>
        <v>3.3 Complexe bedrijven</v>
      </c>
      <c r="D28" t="str">
        <f>IF(VLOOKUP(Table30[[#This Row],[bal_nr]],Table2[#All],4,FALSE)=0,"",VLOOKUP(Table30[[#This Row],[bal_nr]],Table2[#All],4,FALSE))</f>
        <v>3.3.3 Raffinaderij</v>
      </c>
      <c r="E28" t="str">
        <f>IF(VLOOKUP(Table30[[#This Row],[bal_nr]],Table2[#All],5,FALSE)=0,"",VLOOKUP(Table30[[#This Row],[bal_nr]],Table2[#All],5,FALSE))</f>
        <v/>
      </c>
      <c r="F28">
        <v>9</v>
      </c>
    </row>
    <row r="29" spans="1:6" x14ac:dyDescent="0.25">
      <c r="A29" s="1" t="s">
        <v>669</v>
      </c>
      <c r="B29" t="s">
        <v>259</v>
      </c>
      <c r="C29" t="str">
        <f>IF(VLOOKUP(Table30[[#This Row],[bal_nr]],Table2[#All],3,FALSE)=0,"",VLOOKUP(Table30[[#This Row],[bal_nr]],Table2[#All],3,FALSE))</f>
        <v>3.3 Complexe bedrijven</v>
      </c>
      <c r="D29" t="str">
        <f>IF(VLOOKUP(Table30[[#This Row],[bal_nr]],Table2[#All],4,FALSE)=0,"",VLOOKUP(Table30[[#This Row],[bal_nr]],Table2[#All],4,FALSE))</f>
        <v>3.3.3 Raffinaderij</v>
      </c>
      <c r="E29" t="str">
        <f>IF(VLOOKUP(Table30[[#This Row],[bal_nr]],Table2[#All],5,FALSE)=0,"",VLOOKUP(Table30[[#This Row],[bal_nr]],Table2[#All],5,FALSE))</f>
        <v/>
      </c>
      <c r="F29">
        <v>9</v>
      </c>
    </row>
    <row r="30" spans="1:6" x14ac:dyDescent="0.25">
      <c r="A30" s="1" t="s">
        <v>280</v>
      </c>
      <c r="B30" t="s">
        <v>431</v>
      </c>
      <c r="C30" t="str">
        <f>IF(VLOOKUP(Table30[[#This Row],[bal_nr]],Table2[#All],3,FALSE)=0,"",VLOOKUP(Table30[[#This Row],[bal_nr]],Table2[#All],3,FALSE))</f>
        <v>3.3 Complexe bedrijven</v>
      </c>
      <c r="D30" t="str">
        <f>IF(VLOOKUP(Table30[[#This Row],[bal_nr]],Table2[#All],4,FALSE)=0,"",VLOOKUP(Table30[[#This Row],[bal_nr]],Table2[#All],4,FALSE))</f>
        <v>3.3.4 Maken van cokes</v>
      </c>
      <c r="E30" t="str">
        <f>IF(VLOOKUP(Table30[[#This Row],[bal_nr]],Table2[#All],5,FALSE)=0,"",VLOOKUP(Table30[[#This Row],[bal_nr]],Table2[#All],5,FALSE))</f>
        <v/>
      </c>
      <c r="F30">
        <v>10</v>
      </c>
    </row>
    <row r="31" spans="1:6" x14ac:dyDescent="0.25">
      <c r="A31" s="1" t="s">
        <v>281</v>
      </c>
      <c r="B31" t="s">
        <v>432</v>
      </c>
      <c r="C31" t="str">
        <f>IF(VLOOKUP(Table30[[#This Row],[bal_nr]],Table2[#All],3,FALSE)=0,"",VLOOKUP(Table30[[#This Row],[bal_nr]],Table2[#All],3,FALSE))</f>
        <v>3.3 Complexe bedrijven</v>
      </c>
      <c r="D31" t="str">
        <f>IF(VLOOKUP(Table30[[#This Row],[bal_nr]],Table2[#All],4,FALSE)=0,"",VLOOKUP(Table30[[#This Row],[bal_nr]],Table2[#All],4,FALSE))</f>
        <v>3.3.4 Maken van cokes</v>
      </c>
      <c r="E31" t="str">
        <f>IF(VLOOKUP(Table30[[#This Row],[bal_nr]],Table2[#All],5,FALSE)=0,"",VLOOKUP(Table30[[#This Row],[bal_nr]],Table2[#All],5,FALSE))</f>
        <v/>
      </c>
      <c r="F31">
        <v>10</v>
      </c>
    </row>
    <row r="32" spans="1:6" x14ac:dyDescent="0.25">
      <c r="A32" s="1" t="s">
        <v>285</v>
      </c>
      <c r="B32" t="s">
        <v>436</v>
      </c>
      <c r="C32" t="str">
        <f>IF(VLOOKUP(Table30[[#This Row],[bal_nr]],Table2[#All],3,FALSE)=0,"",VLOOKUP(Table30[[#This Row],[bal_nr]],Table2[#All],3,FALSE))</f>
        <v>3.3 Complexe bedrijven</v>
      </c>
      <c r="D32" t="str">
        <f>IF(VLOOKUP(Table30[[#This Row],[bal_nr]],Table2[#All],4,FALSE)=0,"",VLOOKUP(Table30[[#This Row],[bal_nr]],Table2[#All],4,FALSE))</f>
        <v>3.3.5 Vergassen of vloeibaar maken van steenkool of andere brandstoffen</v>
      </c>
      <c r="E32" t="str">
        <f>IF(VLOOKUP(Table30[[#This Row],[bal_nr]],Table2[#All],5,FALSE)=0,"",VLOOKUP(Table30[[#This Row],[bal_nr]],Table2[#All],5,FALSE))</f>
        <v/>
      </c>
      <c r="F32">
        <v>11</v>
      </c>
    </row>
    <row r="33" spans="1:6" x14ac:dyDescent="0.25">
      <c r="A33" s="1" t="s">
        <v>64</v>
      </c>
      <c r="B33" t="s">
        <v>488</v>
      </c>
      <c r="C33" t="str">
        <f>IF(VLOOKUP(Table30[[#This Row],[bal_nr]],Table2[#All],3,FALSE)=0,"",VLOOKUP(Table30[[#This Row],[bal_nr]],Table2[#All],3,FALSE))</f>
        <v>3.3 Complexe bedrijven</v>
      </c>
      <c r="D33" t="str">
        <f>IF(VLOOKUP(Table30[[#This Row],[bal_nr]],Table2[#All],4,FALSE)=0,"",VLOOKUP(Table30[[#This Row],[bal_nr]],Table2[#All],4,FALSE))</f>
        <v>3.3.6 Basismetaal</v>
      </c>
      <c r="E33" t="str">
        <f>IF(VLOOKUP(Table30[[#This Row],[bal_nr]],Table2[#All],5,FALSE)=0,"",VLOOKUP(Table30[[#This Row],[bal_nr]],Table2[#All],5,FALSE))</f>
        <v>3.3.6 b/c het maken van ijzer of staal</v>
      </c>
      <c r="F33">
        <v>13</v>
      </c>
    </row>
    <row r="34" spans="1:6" x14ac:dyDescent="0.25">
      <c r="A34" s="1" t="s">
        <v>65</v>
      </c>
      <c r="B34" t="s">
        <v>489</v>
      </c>
      <c r="C34" t="str">
        <f>IF(VLOOKUP(Table30[[#This Row],[bal_nr]],Table2[#All],3,FALSE)=0,"",VLOOKUP(Table30[[#This Row],[bal_nr]],Table2[#All],3,FALSE))</f>
        <v>3.3 Complexe bedrijven</v>
      </c>
      <c r="D34" t="str">
        <f>IF(VLOOKUP(Table30[[#This Row],[bal_nr]],Table2[#All],4,FALSE)=0,"",VLOOKUP(Table30[[#This Row],[bal_nr]],Table2[#All],4,FALSE))</f>
        <v>3.3.6 Basismetaal</v>
      </c>
      <c r="E34" t="str">
        <f>IF(VLOOKUP(Table30[[#This Row],[bal_nr]],Table2[#All],5,FALSE)=0,"",VLOOKUP(Table30[[#This Row],[bal_nr]],Table2[#All],5,FALSE))</f>
        <v>3.3.6 b/c het maken van ijzer of staal</v>
      </c>
      <c r="F34">
        <v>13</v>
      </c>
    </row>
    <row r="35" spans="1:6" x14ac:dyDescent="0.25">
      <c r="A35" s="1" t="s">
        <v>66</v>
      </c>
      <c r="B35" t="s">
        <v>490</v>
      </c>
      <c r="C35" t="str">
        <f>IF(VLOOKUP(Table30[[#This Row],[bal_nr]],Table2[#All],3,FALSE)=0,"",VLOOKUP(Table30[[#This Row],[bal_nr]],Table2[#All],3,FALSE))</f>
        <v>3.3 Complexe bedrijven</v>
      </c>
      <c r="D35" t="str">
        <f>IF(VLOOKUP(Table30[[#This Row],[bal_nr]],Table2[#All],4,FALSE)=0,"",VLOOKUP(Table30[[#This Row],[bal_nr]],Table2[#All],4,FALSE))</f>
        <v>3.3.6 Basismetaal</v>
      </c>
      <c r="E35" t="str">
        <f>IF(VLOOKUP(Table30[[#This Row],[bal_nr]],Table2[#All],5,FALSE)=0,"",VLOOKUP(Table30[[#This Row],[bal_nr]],Table2[#All],5,FALSE))</f>
        <v>3.3.6 b/c het maken van ijzer of staal</v>
      </c>
      <c r="F35">
        <v>13</v>
      </c>
    </row>
    <row r="36" spans="1:6" x14ac:dyDescent="0.25">
      <c r="A36" s="1" t="s">
        <v>63</v>
      </c>
      <c r="B36" t="s">
        <v>487</v>
      </c>
      <c r="C36" t="str">
        <f>IF(VLOOKUP(Table30[[#This Row],[bal_nr]],Table2[#All],3,FALSE)=0,"",VLOOKUP(Table30[[#This Row],[bal_nr]],Table2[#All],3,FALSE))</f>
        <v>3.3 Complexe bedrijven</v>
      </c>
      <c r="D36" t="str">
        <f>IF(VLOOKUP(Table30[[#This Row],[bal_nr]],Table2[#All],4,FALSE)=0,"",VLOOKUP(Table30[[#This Row],[bal_nr]],Table2[#All],4,FALSE))</f>
        <v>3.3.6 Basismetaal</v>
      </c>
      <c r="E36" t="str">
        <f>IF(VLOOKUP(Table30[[#This Row],[bal_nr]],Table2[#All],5,FALSE)=0,"",VLOOKUP(Table30[[#This Row],[bal_nr]],Table2[#All],5,FALSE))</f>
        <v/>
      </c>
      <c r="F36">
        <v>12</v>
      </c>
    </row>
    <row r="37" spans="1:6" x14ac:dyDescent="0.25">
      <c r="A37" s="1" t="s">
        <v>67</v>
      </c>
      <c r="B37" t="s">
        <v>491</v>
      </c>
      <c r="C37" t="str">
        <f>IF(VLOOKUP(Table30[[#This Row],[bal_nr]],Table2[#All],3,FALSE)=0,"",VLOOKUP(Table30[[#This Row],[bal_nr]],Table2[#All],3,FALSE))</f>
        <v>3.3 Complexe bedrijven</v>
      </c>
      <c r="D37" t="str">
        <f>IF(VLOOKUP(Table30[[#This Row],[bal_nr]],Table2[#All],4,FALSE)=0,"",VLOOKUP(Table30[[#This Row],[bal_nr]],Table2[#All],4,FALSE))</f>
        <v>3.3.6 Basismetaal</v>
      </c>
      <c r="E37" t="str">
        <f>IF(VLOOKUP(Table30[[#This Row],[bal_nr]],Table2[#All],5,FALSE)=0,"",VLOOKUP(Table30[[#This Row],[bal_nr]],Table2[#All],5,FALSE))</f>
        <v/>
      </c>
      <c r="F37">
        <v>12</v>
      </c>
    </row>
    <row r="38" spans="1:6" x14ac:dyDescent="0.25">
      <c r="A38" s="1" t="s">
        <v>68</v>
      </c>
      <c r="B38" t="s">
        <v>492</v>
      </c>
      <c r="C38" t="str">
        <f>IF(VLOOKUP(Table30[[#This Row],[bal_nr]],Table2[#All],3,FALSE)=0,"",VLOOKUP(Table30[[#This Row],[bal_nr]],Table2[#All],3,FALSE))</f>
        <v>3.3 Complexe bedrijven</v>
      </c>
      <c r="D38" t="str">
        <f>IF(VLOOKUP(Table30[[#This Row],[bal_nr]],Table2[#All],4,FALSE)=0,"",VLOOKUP(Table30[[#This Row],[bal_nr]],Table2[#All],4,FALSE))</f>
        <v>3.3.6 Basismetaal</v>
      </c>
      <c r="E38" t="str">
        <f>IF(VLOOKUP(Table30[[#This Row],[bal_nr]],Table2[#All],5,FALSE)=0,"",VLOOKUP(Table30[[#This Row],[bal_nr]],Table2[#All],5,FALSE))</f>
        <v/>
      </c>
      <c r="F38">
        <v>12</v>
      </c>
    </row>
    <row r="39" spans="1:6" x14ac:dyDescent="0.25">
      <c r="A39" s="1" t="s">
        <v>70</v>
      </c>
      <c r="B39" t="s">
        <v>494</v>
      </c>
      <c r="C39" t="str">
        <f>IF(VLOOKUP(Table30[[#This Row],[bal_nr]],Table2[#All],3,FALSE)=0,"",VLOOKUP(Table30[[#This Row],[bal_nr]],Table2[#All],3,FALSE))</f>
        <v>3.3 Complexe bedrijven</v>
      </c>
      <c r="D39" t="str">
        <f>IF(VLOOKUP(Table30[[#This Row],[bal_nr]],Table2[#All],4,FALSE)=0,"",VLOOKUP(Table30[[#This Row],[bal_nr]],Table2[#All],4,FALSE))</f>
        <v>3.3.6 Basismetaal</v>
      </c>
      <c r="E39" t="str">
        <f>IF(VLOOKUP(Table30[[#This Row],[bal_nr]],Table2[#All],5,FALSE)=0,"",VLOOKUP(Table30[[#This Row],[bal_nr]],Table2[#All],5,FALSE))</f>
        <v/>
      </c>
      <c r="F39">
        <v>12</v>
      </c>
    </row>
    <row r="40" spans="1:6" x14ac:dyDescent="0.25">
      <c r="A40" s="1" t="s">
        <v>71</v>
      </c>
      <c r="B40" t="s">
        <v>495</v>
      </c>
      <c r="C40" t="str">
        <f>IF(VLOOKUP(Table30[[#This Row],[bal_nr]],Table2[#All],3,FALSE)=0,"",VLOOKUP(Table30[[#This Row],[bal_nr]],Table2[#All],3,FALSE))</f>
        <v>3.3 Complexe bedrijven</v>
      </c>
      <c r="D40" t="str">
        <f>IF(VLOOKUP(Table30[[#This Row],[bal_nr]],Table2[#All],4,FALSE)=0,"",VLOOKUP(Table30[[#This Row],[bal_nr]],Table2[#All],4,FALSE))</f>
        <v>3.3.6 Basismetaal</v>
      </c>
      <c r="E40" t="str">
        <f>IF(VLOOKUP(Table30[[#This Row],[bal_nr]],Table2[#All],5,FALSE)=0,"",VLOOKUP(Table30[[#This Row],[bal_nr]],Table2[#All],5,FALSE))</f>
        <v/>
      </c>
      <c r="F40">
        <v>12</v>
      </c>
    </row>
    <row r="41" spans="1:6" x14ac:dyDescent="0.25">
      <c r="A41" s="1" t="s">
        <v>72</v>
      </c>
      <c r="B41" t="s">
        <v>496</v>
      </c>
      <c r="C41" t="str">
        <f>IF(VLOOKUP(Table30[[#This Row],[bal_nr]],Table2[#All],3,FALSE)=0,"",VLOOKUP(Table30[[#This Row],[bal_nr]],Table2[#All],3,FALSE))</f>
        <v>3.3 Complexe bedrijven</v>
      </c>
      <c r="D41" t="str">
        <f>IF(VLOOKUP(Table30[[#This Row],[bal_nr]],Table2[#All],4,FALSE)=0,"",VLOOKUP(Table30[[#This Row],[bal_nr]],Table2[#All],4,FALSE))</f>
        <v>3.3.6 Basismetaal</v>
      </c>
      <c r="E41" t="str">
        <f>IF(VLOOKUP(Table30[[#This Row],[bal_nr]],Table2[#All],5,FALSE)=0,"",VLOOKUP(Table30[[#This Row],[bal_nr]],Table2[#All],5,FALSE))</f>
        <v/>
      </c>
      <c r="F41">
        <v>12</v>
      </c>
    </row>
    <row r="42" spans="1:6" x14ac:dyDescent="0.25">
      <c r="A42" s="1" t="s">
        <v>74</v>
      </c>
      <c r="B42" t="s">
        <v>498</v>
      </c>
      <c r="C42" t="str">
        <f>IF(VLOOKUP(Table30[[#This Row],[bal_nr]],Table2[#All],3,FALSE)=0,"",VLOOKUP(Table30[[#This Row],[bal_nr]],Table2[#All],3,FALSE))</f>
        <v>3.3 Complexe bedrijven</v>
      </c>
      <c r="D42" t="str">
        <f>IF(VLOOKUP(Table30[[#This Row],[bal_nr]],Table2[#All],4,FALSE)=0,"",VLOOKUP(Table30[[#This Row],[bal_nr]],Table2[#All],4,FALSE))</f>
        <v>3.3.6 Basismetaal</v>
      </c>
      <c r="E42" t="str">
        <f>IF(VLOOKUP(Table30[[#This Row],[bal_nr]],Table2[#All],5,FALSE)=0,"",VLOOKUP(Table30[[#This Row],[bal_nr]],Table2[#All],5,FALSE))</f>
        <v>3.3.6 e/f het smelten of gieten van ferrometalen</v>
      </c>
      <c r="F42">
        <v>14</v>
      </c>
    </row>
    <row r="43" spans="1:6" x14ac:dyDescent="0.25">
      <c r="A43" s="1" t="s">
        <v>75</v>
      </c>
      <c r="B43" t="s">
        <v>499</v>
      </c>
      <c r="C43" t="str">
        <f>IF(VLOOKUP(Table30[[#This Row],[bal_nr]],Table2[#All],3,FALSE)=0,"",VLOOKUP(Table30[[#This Row],[bal_nr]],Table2[#All],3,FALSE))</f>
        <v>3.3 Complexe bedrijven</v>
      </c>
      <c r="D43" t="str">
        <f>IF(VLOOKUP(Table30[[#This Row],[bal_nr]],Table2[#All],4,FALSE)=0,"",VLOOKUP(Table30[[#This Row],[bal_nr]],Table2[#All],4,FALSE))</f>
        <v>3.3.6 Basismetaal</v>
      </c>
      <c r="E43" t="str">
        <f>IF(VLOOKUP(Table30[[#This Row],[bal_nr]],Table2[#All],5,FALSE)=0,"",VLOOKUP(Table30[[#This Row],[bal_nr]],Table2[#All],5,FALSE))</f>
        <v>3.3.6 e/f het smelten of gieten van ferrometalen</v>
      </c>
      <c r="F43">
        <v>14</v>
      </c>
    </row>
    <row r="44" spans="1:6" x14ac:dyDescent="0.25">
      <c r="A44" s="1" t="s">
        <v>76</v>
      </c>
      <c r="B44" t="s">
        <v>500</v>
      </c>
      <c r="C44" t="str">
        <f>IF(VLOOKUP(Table30[[#This Row],[bal_nr]],Table2[#All],3,FALSE)=0,"",VLOOKUP(Table30[[#This Row],[bal_nr]],Table2[#All],3,FALSE))</f>
        <v>3.3 Complexe bedrijven</v>
      </c>
      <c r="D44" t="str">
        <f>IF(VLOOKUP(Table30[[#This Row],[bal_nr]],Table2[#All],4,FALSE)=0,"",VLOOKUP(Table30[[#This Row],[bal_nr]],Table2[#All],4,FALSE))</f>
        <v>3.3.6 Basismetaal</v>
      </c>
      <c r="E44" t="str">
        <f>IF(VLOOKUP(Table30[[#This Row],[bal_nr]],Table2[#All],5,FALSE)=0,"",VLOOKUP(Table30[[#This Row],[bal_nr]],Table2[#All],5,FALSE))</f>
        <v>3.3.6 e/f het smelten of gieten van ferrometalen</v>
      </c>
      <c r="F44">
        <v>14</v>
      </c>
    </row>
    <row r="45" spans="1:6" x14ac:dyDescent="0.25">
      <c r="A45" s="1" t="s">
        <v>69</v>
      </c>
      <c r="B45" t="s">
        <v>493</v>
      </c>
      <c r="C45" t="str">
        <f>IF(VLOOKUP(Table30[[#This Row],[bal_nr]],Table2[#All],3,FALSE)=0,"",VLOOKUP(Table30[[#This Row],[bal_nr]],Table2[#All],3,FALSE))</f>
        <v>3.3 Complexe bedrijven</v>
      </c>
      <c r="D45" t="str">
        <f>IF(VLOOKUP(Table30[[#This Row],[bal_nr]],Table2[#All],4,FALSE)=0,"",VLOOKUP(Table30[[#This Row],[bal_nr]],Table2[#All],4,FALSE))</f>
        <v>3.3.6 Basismetaal</v>
      </c>
      <c r="E45" t="str">
        <f>IF(VLOOKUP(Table30[[#This Row],[bal_nr]],Table2[#All],5,FALSE)=0,"",VLOOKUP(Table30[[#This Row],[bal_nr]],Table2[#All],5,FALSE))</f>
        <v>3.3.6 g het winnen van ruwe non-ferrometalen uit erts, concentraat of secundaire grondstoffen, het smelten, met inbegrip van het legeren, en het gieten van non-ferrometalen</v>
      </c>
      <c r="F45">
        <v>15</v>
      </c>
    </row>
    <row r="46" spans="1:6" x14ac:dyDescent="0.25">
      <c r="A46" s="1" t="s">
        <v>73</v>
      </c>
      <c r="B46" t="s">
        <v>497</v>
      </c>
      <c r="C46" t="str">
        <f>IF(VLOOKUP(Table30[[#This Row],[bal_nr]],Table2[#All],3,FALSE)=0,"",VLOOKUP(Table30[[#This Row],[bal_nr]],Table2[#All],3,FALSE))</f>
        <v>3.3 Complexe bedrijven</v>
      </c>
      <c r="D46" t="str">
        <f>IF(VLOOKUP(Table30[[#This Row],[bal_nr]],Table2[#All],4,FALSE)=0,"",VLOOKUP(Table30[[#This Row],[bal_nr]],Table2[#All],4,FALSE))</f>
        <v>3.3.6 Basismetaal</v>
      </c>
      <c r="E46" t="str">
        <f>IF(VLOOKUP(Table30[[#This Row],[bal_nr]],Table2[#All],5,FALSE)=0,"",VLOOKUP(Table30[[#This Row],[bal_nr]],Table2[#All],5,FALSE))</f>
        <v>3.3.6 g het winnen van ruwe non-ferrometalen uit erts, concentraat of secundaire grondstoffen, het smelten, met inbegrip van het legeren, en het gieten van non-ferrometalen</v>
      </c>
      <c r="F46">
        <v>15</v>
      </c>
    </row>
    <row r="47" spans="1:6" x14ac:dyDescent="0.25">
      <c r="A47" s="1" t="s">
        <v>74</v>
      </c>
      <c r="B47" t="s">
        <v>498</v>
      </c>
      <c r="C47" t="str">
        <f>IF(VLOOKUP(Table30[[#This Row],[bal_nr]],Table2[#All],3,FALSE)=0,"",VLOOKUP(Table30[[#This Row],[bal_nr]],Table2[#All],3,FALSE))</f>
        <v>3.3 Complexe bedrijven</v>
      </c>
      <c r="D47" t="str">
        <f>IF(VLOOKUP(Table30[[#This Row],[bal_nr]],Table2[#All],4,FALSE)=0,"",VLOOKUP(Table30[[#This Row],[bal_nr]],Table2[#All],4,FALSE))</f>
        <v>3.3.6 Basismetaal</v>
      </c>
      <c r="E47" t="str">
        <f>IF(VLOOKUP(Table30[[#This Row],[bal_nr]],Table2[#All],5,FALSE)=0,"",VLOOKUP(Table30[[#This Row],[bal_nr]],Table2[#All],5,FALSE))</f>
        <v>3.3.6 g het winnen van ruwe non-ferrometalen uit erts, concentraat of secundaire grondstoffen, het smelten, met inbegrip van het legeren, en het gieten van non-ferrometalen</v>
      </c>
      <c r="F47">
        <v>15</v>
      </c>
    </row>
    <row r="48" spans="1:6" x14ac:dyDescent="0.25">
      <c r="A48" s="1" t="s">
        <v>77</v>
      </c>
      <c r="B48" t="s">
        <v>501</v>
      </c>
      <c r="C48" t="str">
        <f>IF(VLOOKUP(Table30[[#This Row],[bal_nr]],Table2[#All],3,FALSE)=0,"",VLOOKUP(Table30[[#This Row],[bal_nr]],Table2[#All],3,FALSE))</f>
        <v>3.3 Complexe bedrijven</v>
      </c>
      <c r="D48" t="str">
        <f>IF(VLOOKUP(Table30[[#This Row],[bal_nr]],Table2[#All],4,FALSE)=0,"",VLOOKUP(Table30[[#This Row],[bal_nr]],Table2[#All],4,FALSE))</f>
        <v>3.3.6 Basismetaal</v>
      </c>
      <c r="E48" t="str">
        <f>IF(VLOOKUP(Table30[[#This Row],[bal_nr]],Table2[#All],5,FALSE)=0,"",VLOOKUP(Table30[[#This Row],[bal_nr]],Table2[#All],5,FALSE))</f>
        <v>3.3.6 g het winnen van ruwe non-ferrometalen uit erts, concentraat of secundaire grondstoffen, het smelten, met inbegrip van het legeren, en het gieten van non-ferrometalen</v>
      </c>
      <c r="F48">
        <v>15</v>
      </c>
    </row>
    <row r="49" spans="1:6" x14ac:dyDescent="0.25">
      <c r="A49" s="1" t="s">
        <v>78</v>
      </c>
      <c r="B49" t="s">
        <v>502</v>
      </c>
      <c r="C49" t="str">
        <f>IF(VLOOKUP(Table30[[#This Row],[bal_nr]],Table2[#All],3,FALSE)=0,"",VLOOKUP(Table30[[#This Row],[bal_nr]],Table2[#All],3,FALSE))</f>
        <v>3.3 Complexe bedrijven</v>
      </c>
      <c r="D49" t="str">
        <f>IF(VLOOKUP(Table30[[#This Row],[bal_nr]],Table2[#All],4,FALSE)=0,"",VLOOKUP(Table30[[#This Row],[bal_nr]],Table2[#All],4,FALSE))</f>
        <v>3.3.6 Basismetaal</v>
      </c>
      <c r="E49" t="str">
        <f>IF(VLOOKUP(Table30[[#This Row],[bal_nr]],Table2[#All],5,FALSE)=0,"",VLOOKUP(Table30[[#This Row],[bal_nr]],Table2[#All],5,FALSE))</f>
        <v>3.3.6 g het winnen van ruwe non-ferrometalen uit erts, concentraat of secundaire grondstoffen, het smelten, met inbegrip van het legeren, en het gieten van non-ferrometalen</v>
      </c>
      <c r="F49">
        <v>15</v>
      </c>
    </row>
    <row r="50" spans="1:6" x14ac:dyDescent="0.25">
      <c r="A50" s="1" t="s">
        <v>317</v>
      </c>
      <c r="B50" t="s">
        <v>469</v>
      </c>
      <c r="C50" t="str">
        <f>IF(VLOOKUP(Table30[[#This Row],[bal_nr]],Table2[#All],3,FALSE)=0,"",VLOOKUP(Table30[[#This Row],[bal_nr]],Table2[#All],3,FALSE))</f>
        <v>3.3 Complexe bedrijven</v>
      </c>
      <c r="D50" t="str">
        <f>IF(VLOOKUP(Table30[[#This Row],[bal_nr]],Table2[#All],4,FALSE)=0,"",VLOOKUP(Table30[[#This Row],[bal_nr]],Table2[#All],4,FALSE))</f>
        <v>3.3.7 Complexe minerale industrie</v>
      </c>
      <c r="E50" t="str">
        <f>IF(VLOOKUP(Table30[[#This Row],[bal_nr]],Table2[#All],5,FALSE)=0,"",VLOOKUP(Table30[[#This Row],[bal_nr]],Table2[#All],5,FALSE))</f>
        <v>3.3.7 a/b het maken van cement, cementklinkers, ongebluste kalk of magnesiumoxide</v>
      </c>
      <c r="F50">
        <v>17</v>
      </c>
    </row>
    <row r="51" spans="1:6" x14ac:dyDescent="0.25">
      <c r="A51" s="1" t="s">
        <v>318</v>
      </c>
      <c r="B51" t="s">
        <v>470</v>
      </c>
      <c r="C51" t="str">
        <f>IF(VLOOKUP(Table30[[#This Row],[bal_nr]],Table2[#All],3,FALSE)=0,"",VLOOKUP(Table30[[#This Row],[bal_nr]],Table2[#All],3,FALSE))</f>
        <v>3.3 Complexe bedrijven</v>
      </c>
      <c r="D51" t="str">
        <f>IF(VLOOKUP(Table30[[#This Row],[bal_nr]],Table2[#All],4,FALSE)=0,"",VLOOKUP(Table30[[#This Row],[bal_nr]],Table2[#All],4,FALSE))</f>
        <v>3.3.7 Complexe minerale industrie</v>
      </c>
      <c r="E51" t="str">
        <f>IF(VLOOKUP(Table30[[#This Row],[bal_nr]],Table2[#All],5,FALSE)=0,"",VLOOKUP(Table30[[#This Row],[bal_nr]],Table2[#All],5,FALSE))</f>
        <v>3.3.7 a/b het maken van cement, cementklinkers, ongebluste kalk of magnesiumoxide</v>
      </c>
      <c r="F51">
        <v>17</v>
      </c>
    </row>
    <row r="52" spans="1:6" x14ac:dyDescent="0.25">
      <c r="A52" s="1" t="s">
        <v>319</v>
      </c>
      <c r="B52" t="s">
        <v>471</v>
      </c>
      <c r="C52" t="str">
        <f>IF(VLOOKUP(Table30[[#This Row],[bal_nr]],Table2[#All],3,FALSE)=0,"",VLOOKUP(Table30[[#This Row],[bal_nr]],Table2[#All],3,FALSE))</f>
        <v>3.3 Complexe bedrijven</v>
      </c>
      <c r="D52" t="str">
        <f>IF(VLOOKUP(Table30[[#This Row],[bal_nr]],Table2[#All],4,FALSE)=0,"",VLOOKUP(Table30[[#This Row],[bal_nr]],Table2[#All],4,FALSE))</f>
        <v>3.3.7 Complexe minerale industrie</v>
      </c>
      <c r="E52" t="str">
        <f>IF(VLOOKUP(Table30[[#This Row],[bal_nr]],Table2[#All],5,FALSE)=0,"",VLOOKUP(Table30[[#This Row],[bal_nr]],Table2[#All],5,FALSE))</f>
        <v>3.3.7 a/b het maken van cement, cementklinkers, ongebluste kalk of magnesiumoxide</v>
      </c>
      <c r="F52">
        <v>17</v>
      </c>
    </row>
    <row r="53" spans="1:6" x14ac:dyDescent="0.25">
      <c r="A53" s="1" t="s">
        <v>320</v>
      </c>
      <c r="B53" t="s">
        <v>310</v>
      </c>
      <c r="C53" t="str">
        <f>IF(VLOOKUP(Table30[[#This Row],[bal_nr]],Table2[#All],3,FALSE)=0,"",VLOOKUP(Table30[[#This Row],[bal_nr]],Table2[#All],3,FALSE))</f>
        <v>3.3 Complexe bedrijven</v>
      </c>
      <c r="D53" t="str">
        <f>IF(VLOOKUP(Table30[[#This Row],[bal_nr]],Table2[#All],4,FALSE)=0,"",VLOOKUP(Table30[[#This Row],[bal_nr]],Table2[#All],4,FALSE))</f>
        <v>3.3.7 Complexe minerale industrie</v>
      </c>
      <c r="E53" t="str">
        <f>IF(VLOOKUP(Table30[[#This Row],[bal_nr]],Table2[#All],5,FALSE)=0,"",VLOOKUP(Table30[[#This Row],[bal_nr]],Table2[#All],5,FALSE))</f>
        <v>3.3.7 a/b het maken van cement, cementklinkers, ongebluste kalk of magnesiumoxide</v>
      </c>
      <c r="F53">
        <v>17</v>
      </c>
    </row>
    <row r="54" spans="1:6" x14ac:dyDescent="0.25">
      <c r="A54" s="1" t="s">
        <v>325</v>
      </c>
      <c r="B54" t="s">
        <v>476</v>
      </c>
      <c r="C54" t="str">
        <f>IF(VLOOKUP(Table30[[#This Row],[bal_nr]],Table2[#All],3,FALSE)=0,"",VLOOKUP(Table30[[#This Row],[bal_nr]],Table2[#All],3,FALSE))</f>
        <v>3.3 Complexe bedrijven</v>
      </c>
      <c r="D54" t="str">
        <f>IF(VLOOKUP(Table30[[#This Row],[bal_nr]],Table2[#All],4,FALSE)=0,"",VLOOKUP(Table30[[#This Row],[bal_nr]],Table2[#All],4,FALSE))</f>
        <v>3.3.7 Complexe minerale industrie</v>
      </c>
      <c r="E54" t="str">
        <f>IF(VLOOKUP(Table30[[#This Row],[bal_nr]],Table2[#All],5,FALSE)=0,"",VLOOKUP(Table30[[#This Row],[bal_nr]],Table2[#All],5,FALSE))</f>
        <v>3.3.7 a/b het maken van cement, cementklinkers, ongebluste kalk of magnesiumoxide</v>
      </c>
      <c r="F54">
        <v>17</v>
      </c>
    </row>
    <row r="55" spans="1:6" x14ac:dyDescent="0.25">
      <c r="A55" s="1" t="s">
        <v>326</v>
      </c>
      <c r="B55" t="s">
        <v>477</v>
      </c>
      <c r="C55" t="str">
        <f>IF(VLOOKUP(Table30[[#This Row],[bal_nr]],Table2[#All],3,FALSE)=0,"",VLOOKUP(Table30[[#This Row],[bal_nr]],Table2[#All],3,FALSE))</f>
        <v>3.3 Complexe bedrijven</v>
      </c>
      <c r="D55" t="str">
        <f>IF(VLOOKUP(Table30[[#This Row],[bal_nr]],Table2[#All],4,FALSE)=0,"",VLOOKUP(Table30[[#This Row],[bal_nr]],Table2[#All],4,FALSE))</f>
        <v>3.3.7 Complexe minerale industrie</v>
      </c>
      <c r="E55" t="str">
        <f>IF(VLOOKUP(Table30[[#This Row],[bal_nr]],Table2[#All],5,FALSE)=0,"",VLOOKUP(Table30[[#This Row],[bal_nr]],Table2[#All],5,FALSE))</f>
        <v>3.3.7 a/b het maken van cement, cementklinkers, ongebluste kalk of magnesiumoxide</v>
      </c>
      <c r="F55">
        <v>17</v>
      </c>
    </row>
    <row r="56" spans="1:6" x14ac:dyDescent="0.25">
      <c r="A56" s="1" t="s">
        <v>327</v>
      </c>
      <c r="B56" t="s">
        <v>478</v>
      </c>
      <c r="C56" t="str">
        <f>IF(VLOOKUP(Table30[[#This Row],[bal_nr]],Table2[#All],3,FALSE)=0,"",VLOOKUP(Table30[[#This Row],[bal_nr]],Table2[#All],3,FALSE))</f>
        <v>3.3 Complexe bedrijven</v>
      </c>
      <c r="D56" t="str">
        <f>IF(VLOOKUP(Table30[[#This Row],[bal_nr]],Table2[#All],4,FALSE)=0,"",VLOOKUP(Table30[[#This Row],[bal_nr]],Table2[#All],4,FALSE))</f>
        <v>3.3.7 Complexe minerale industrie</v>
      </c>
      <c r="E56" t="str">
        <f>IF(VLOOKUP(Table30[[#This Row],[bal_nr]],Table2[#All],5,FALSE)=0,"",VLOOKUP(Table30[[#This Row],[bal_nr]],Table2[#All],5,FALSE))</f>
        <v>3.3.7 a/b het maken van cement, cementklinkers, ongebluste kalk of magnesiumoxide</v>
      </c>
      <c r="F56">
        <v>17</v>
      </c>
    </row>
    <row r="57" spans="1:6" x14ac:dyDescent="0.25">
      <c r="A57" s="1" t="s">
        <v>315</v>
      </c>
      <c r="B57" t="s">
        <v>467</v>
      </c>
      <c r="C57" t="str">
        <f>IF(VLOOKUP(Table30[[#This Row],[bal_nr]],Table2[#All],3,FALSE)=0,"",VLOOKUP(Table30[[#This Row],[bal_nr]],Table2[#All],3,FALSE))</f>
        <v>3.3 Complexe bedrijven</v>
      </c>
      <c r="D57" t="str">
        <f>IF(VLOOKUP(Table30[[#This Row],[bal_nr]],Table2[#All],4,FALSE)=0,"",VLOOKUP(Table30[[#This Row],[bal_nr]],Table2[#All],4,FALSE))</f>
        <v>3.3.7 Complexe minerale industrie</v>
      </c>
      <c r="E57" t="str">
        <f>IF(VLOOKUP(Table30[[#This Row],[bal_nr]],Table2[#All],5,FALSE)=0,"",VLOOKUP(Table30[[#This Row],[bal_nr]],Table2[#All],5,FALSE))</f>
        <v/>
      </c>
      <c r="F57">
        <v>16</v>
      </c>
    </row>
    <row r="58" spans="1:6" x14ac:dyDescent="0.25">
      <c r="A58" s="1" t="s">
        <v>321</v>
      </c>
      <c r="B58" t="s">
        <v>472</v>
      </c>
      <c r="C58" t="str">
        <f>IF(VLOOKUP(Table30[[#This Row],[bal_nr]],Table2[#All],3,FALSE)=0,"",VLOOKUP(Table30[[#This Row],[bal_nr]],Table2[#All],3,FALSE))</f>
        <v>3.3 Complexe bedrijven</v>
      </c>
      <c r="D58" t="str">
        <f>IF(VLOOKUP(Table30[[#This Row],[bal_nr]],Table2[#All],4,FALSE)=0,"",VLOOKUP(Table30[[#This Row],[bal_nr]],Table2[#All],4,FALSE))</f>
        <v>3.3.7 Complexe minerale industrie</v>
      </c>
      <c r="E58" t="str">
        <f>IF(VLOOKUP(Table30[[#This Row],[bal_nr]],Table2[#All],5,FALSE)=0,"",VLOOKUP(Table30[[#This Row],[bal_nr]],Table2[#All],5,FALSE))</f>
        <v/>
      </c>
      <c r="F58">
        <v>16</v>
      </c>
    </row>
    <row r="59" spans="1:6" x14ac:dyDescent="0.25">
      <c r="A59" s="1" t="s">
        <v>333</v>
      </c>
      <c r="B59" t="s">
        <v>484</v>
      </c>
      <c r="C59" t="str">
        <f>IF(VLOOKUP(Table30[[#This Row],[bal_nr]],Table2[#All],3,FALSE)=0,"",VLOOKUP(Table30[[#This Row],[bal_nr]],Table2[#All],3,FALSE))</f>
        <v>3.3 Complexe bedrijven</v>
      </c>
      <c r="D59" t="str">
        <f>IF(VLOOKUP(Table30[[#This Row],[bal_nr]],Table2[#All],4,FALSE)=0,"",VLOOKUP(Table30[[#This Row],[bal_nr]],Table2[#All],4,FALSE))</f>
        <v>3.3.7 Complexe minerale industrie</v>
      </c>
      <c r="E59" t="str">
        <f>IF(VLOOKUP(Table30[[#This Row],[bal_nr]],Table2[#All],5,FALSE)=0,"",VLOOKUP(Table30[[#This Row],[bal_nr]],Table2[#All],5,FALSE))</f>
        <v/>
      </c>
      <c r="F59">
        <v>16</v>
      </c>
    </row>
    <row r="60" spans="1:6" x14ac:dyDescent="0.25">
      <c r="A60" s="1" t="s">
        <v>316</v>
      </c>
      <c r="B60" t="s">
        <v>468</v>
      </c>
      <c r="C60" t="str">
        <f>IF(VLOOKUP(Table30[[#This Row],[bal_nr]],Table2[#All],3,FALSE)=0,"",VLOOKUP(Table30[[#This Row],[bal_nr]],Table2[#All],3,FALSE))</f>
        <v>3.3 Complexe bedrijven</v>
      </c>
      <c r="D60" t="str">
        <f>IF(VLOOKUP(Table30[[#This Row],[bal_nr]],Table2[#All],4,FALSE)=0,"",VLOOKUP(Table30[[#This Row],[bal_nr]],Table2[#All],4,FALSE))</f>
        <v>3.3.7 Complexe minerale industrie</v>
      </c>
      <c r="E60" t="str">
        <f>IF(VLOOKUP(Table30[[#This Row],[bal_nr]],Table2[#All],5,FALSE)=0,"",VLOOKUP(Table30[[#This Row],[bal_nr]],Table2[#All],5,FALSE))</f>
        <v>3.3.7 d/e het maken van glas, met inbegrip van het maken van glasvezels</v>
      </c>
      <c r="F60">
        <v>18</v>
      </c>
    </row>
    <row r="61" spans="1:6" x14ac:dyDescent="0.25">
      <c r="A61" s="1" t="s">
        <v>286</v>
      </c>
      <c r="B61" t="s">
        <v>437</v>
      </c>
      <c r="C61" t="str">
        <f>IF(VLOOKUP(Table30[[#This Row],[bal_nr]],Table2[#All],3,FALSE)=0,"",VLOOKUP(Table30[[#This Row],[bal_nr]],Table2[#All],3,FALSE))</f>
        <v>3.3 Complexe bedrijven</v>
      </c>
      <c r="D61" t="str">
        <f>IF(VLOOKUP(Table30[[#This Row],[bal_nr]],Table2[#All],4,FALSE)=0,"",VLOOKUP(Table30[[#This Row],[bal_nr]],Table2[#All],4,FALSE))</f>
        <v>3.3.8 Basischemie</v>
      </c>
      <c r="E61" t="str">
        <f>IF(VLOOKUP(Table30[[#This Row],[bal_nr]],Table2[#All],5,FALSE)=0,"",VLOOKUP(Table30[[#This Row],[bal_nr]],Table2[#All],5,FALSE))</f>
        <v>3.3.8 a het maken van organisch-chemische producten</v>
      </c>
      <c r="F61">
        <v>20</v>
      </c>
    </row>
    <row r="62" spans="1:6" x14ac:dyDescent="0.25">
      <c r="A62" s="1" t="s">
        <v>288</v>
      </c>
      <c r="B62" t="s">
        <v>439</v>
      </c>
      <c r="C62" t="str">
        <f>IF(VLOOKUP(Table30[[#This Row],[bal_nr]],Table2[#All],3,FALSE)=0,"",VLOOKUP(Table30[[#This Row],[bal_nr]],Table2[#All],3,FALSE))</f>
        <v>3.3 Complexe bedrijven</v>
      </c>
      <c r="D62" t="str">
        <f>IF(VLOOKUP(Table30[[#This Row],[bal_nr]],Table2[#All],4,FALSE)=0,"",VLOOKUP(Table30[[#This Row],[bal_nr]],Table2[#All],4,FALSE))</f>
        <v>3.3.8 Basischemie</v>
      </c>
      <c r="E62" t="str">
        <f>IF(VLOOKUP(Table30[[#This Row],[bal_nr]],Table2[#All],5,FALSE)=0,"",VLOOKUP(Table30[[#This Row],[bal_nr]],Table2[#All],5,FALSE))</f>
        <v>3.3.8 a het maken van organisch-chemische producten</v>
      </c>
      <c r="F62">
        <v>20</v>
      </c>
    </row>
    <row r="63" spans="1:6" x14ac:dyDescent="0.25">
      <c r="A63" s="1" t="s">
        <v>670</v>
      </c>
      <c r="B63" t="s">
        <v>440</v>
      </c>
      <c r="C63" t="str">
        <f>IF(VLOOKUP(Table30[[#This Row],[bal_nr]],Table2[#All],3,FALSE)=0,"",VLOOKUP(Table30[[#This Row],[bal_nr]],Table2[#All],3,FALSE))</f>
        <v>3.3 Complexe bedrijven</v>
      </c>
      <c r="D63" t="str">
        <f>IF(VLOOKUP(Table30[[#This Row],[bal_nr]],Table2[#All],4,FALSE)=0,"",VLOOKUP(Table30[[#This Row],[bal_nr]],Table2[#All],4,FALSE))</f>
        <v>3.3.8 Basischemie</v>
      </c>
      <c r="E63" t="str">
        <f>IF(VLOOKUP(Table30[[#This Row],[bal_nr]],Table2[#All],5,FALSE)=0,"",VLOOKUP(Table30[[#This Row],[bal_nr]],Table2[#All],5,FALSE))</f>
        <v>3.3.8 a het maken van organisch-chemische producten</v>
      </c>
      <c r="F63">
        <v>20</v>
      </c>
    </row>
    <row r="64" spans="1:6" x14ac:dyDescent="0.25">
      <c r="A64" s="1" t="s">
        <v>671</v>
      </c>
      <c r="B64" t="s">
        <v>441</v>
      </c>
      <c r="C64" t="str">
        <f>IF(VLOOKUP(Table30[[#This Row],[bal_nr]],Table2[#All],3,FALSE)=0,"",VLOOKUP(Table30[[#This Row],[bal_nr]],Table2[#All],3,FALSE))</f>
        <v>3.3 Complexe bedrijven</v>
      </c>
      <c r="D64" t="str">
        <f>IF(VLOOKUP(Table30[[#This Row],[bal_nr]],Table2[#All],4,FALSE)=0,"",VLOOKUP(Table30[[#This Row],[bal_nr]],Table2[#All],4,FALSE))</f>
        <v>3.3.8 Basischemie</v>
      </c>
      <c r="E64" t="str">
        <f>IF(VLOOKUP(Table30[[#This Row],[bal_nr]],Table2[#All],5,FALSE)=0,"",VLOOKUP(Table30[[#This Row],[bal_nr]],Table2[#All],5,FALSE))</f>
        <v>3.3.8 a het maken van organisch-chemische producten</v>
      </c>
      <c r="F64">
        <v>20</v>
      </c>
    </row>
    <row r="65" spans="1:6" x14ac:dyDescent="0.25">
      <c r="A65" s="1" t="s">
        <v>290</v>
      </c>
      <c r="B65" t="s">
        <v>443</v>
      </c>
      <c r="C65" t="str">
        <f>IF(VLOOKUP(Table30[[#This Row],[bal_nr]],Table2[#All],3,FALSE)=0,"",VLOOKUP(Table30[[#This Row],[bal_nr]],Table2[#All],3,FALSE))</f>
        <v>3.3 Complexe bedrijven</v>
      </c>
      <c r="D65" t="str">
        <f>IF(VLOOKUP(Table30[[#This Row],[bal_nr]],Table2[#All],4,FALSE)=0,"",VLOOKUP(Table30[[#This Row],[bal_nr]],Table2[#All],4,FALSE))</f>
        <v>3.3.8 Basischemie</v>
      </c>
      <c r="E65" t="str">
        <f>IF(VLOOKUP(Table30[[#This Row],[bal_nr]],Table2[#All],5,FALSE)=0,"",VLOOKUP(Table30[[#This Row],[bal_nr]],Table2[#All],5,FALSE))</f>
        <v>3.3.8 a het maken van organisch-chemische producten</v>
      </c>
      <c r="F65">
        <v>20</v>
      </c>
    </row>
    <row r="66" spans="1:6" x14ac:dyDescent="0.25">
      <c r="A66" s="1" t="s">
        <v>285</v>
      </c>
      <c r="B66" t="s">
        <v>436</v>
      </c>
      <c r="C66" t="str">
        <f>IF(VLOOKUP(Table30[[#This Row],[bal_nr]],Table2[#All],3,FALSE)=0,"",VLOOKUP(Table30[[#This Row],[bal_nr]],Table2[#All],3,FALSE))</f>
        <v>3.3 Complexe bedrijven</v>
      </c>
      <c r="D66" t="str">
        <f>IF(VLOOKUP(Table30[[#This Row],[bal_nr]],Table2[#All],4,FALSE)=0,"",VLOOKUP(Table30[[#This Row],[bal_nr]],Table2[#All],4,FALSE))</f>
        <v>3.3.8 Basischemie</v>
      </c>
      <c r="E66" t="str">
        <f>IF(VLOOKUP(Table30[[#This Row],[bal_nr]],Table2[#All],5,FALSE)=0,"",VLOOKUP(Table30[[#This Row],[bal_nr]],Table2[#All],5,FALSE))</f>
        <v>3.3.8 b het maken van anorganisch-chemische producten</v>
      </c>
      <c r="F66">
        <v>21</v>
      </c>
    </row>
    <row r="67" spans="1:6" x14ac:dyDescent="0.25">
      <c r="A67" s="1" t="s">
        <v>287</v>
      </c>
      <c r="B67" t="s">
        <v>438</v>
      </c>
      <c r="C67" t="str">
        <f>IF(VLOOKUP(Table30[[#This Row],[bal_nr]],Table2[#All],3,FALSE)=0,"",VLOOKUP(Table30[[#This Row],[bal_nr]],Table2[#All],3,FALSE))</f>
        <v>3.3 Complexe bedrijven</v>
      </c>
      <c r="D67" t="str">
        <f>IF(VLOOKUP(Table30[[#This Row],[bal_nr]],Table2[#All],4,FALSE)=0,"",VLOOKUP(Table30[[#This Row],[bal_nr]],Table2[#All],4,FALSE))</f>
        <v>3.3.8 Basischemie</v>
      </c>
      <c r="E67" t="str">
        <f>IF(VLOOKUP(Table30[[#This Row],[bal_nr]],Table2[#All],5,FALSE)=0,"",VLOOKUP(Table30[[#This Row],[bal_nr]],Table2[#All],5,FALSE))</f>
        <v>3.3.8 b het maken van anorganisch-chemische producten</v>
      </c>
      <c r="F67">
        <v>21</v>
      </c>
    </row>
    <row r="68" spans="1:6" x14ac:dyDescent="0.25">
      <c r="A68" s="1" t="s">
        <v>283</v>
      </c>
      <c r="B68" t="s">
        <v>434</v>
      </c>
      <c r="C68" t="str">
        <f>IF(VLOOKUP(Table30[[#This Row],[bal_nr]],Table2[#All],3,FALSE)=0,"",VLOOKUP(Table30[[#This Row],[bal_nr]],Table2[#All],3,FALSE))</f>
        <v>3.3 Complexe bedrijven</v>
      </c>
      <c r="D68" t="str">
        <f>IF(VLOOKUP(Table30[[#This Row],[bal_nr]],Table2[#All],4,FALSE)=0,"",VLOOKUP(Table30[[#This Row],[bal_nr]],Table2[#All],4,FALSE))</f>
        <v>3.3.8 Basischemie</v>
      </c>
      <c r="E68" t="str">
        <f>IF(VLOOKUP(Table30[[#This Row],[bal_nr]],Table2[#All],5,FALSE)=0,"",VLOOKUP(Table30[[#This Row],[bal_nr]],Table2[#All],5,FALSE))</f>
        <v/>
      </c>
      <c r="F68">
        <v>19</v>
      </c>
    </row>
    <row r="69" spans="1:6" x14ac:dyDescent="0.25">
      <c r="A69" s="1" t="s">
        <v>284</v>
      </c>
      <c r="B69" t="s">
        <v>435</v>
      </c>
      <c r="C69" t="str">
        <f>IF(VLOOKUP(Table30[[#This Row],[bal_nr]],Table2[#All],3,FALSE)=0,"",VLOOKUP(Table30[[#This Row],[bal_nr]],Table2[#All],3,FALSE))</f>
        <v>3.3 Complexe bedrijven</v>
      </c>
      <c r="D69" t="str">
        <f>IF(VLOOKUP(Table30[[#This Row],[bal_nr]],Table2[#All],4,FALSE)=0,"",VLOOKUP(Table30[[#This Row],[bal_nr]],Table2[#All],4,FALSE))</f>
        <v>3.3.8 Basischemie</v>
      </c>
      <c r="E69" t="str">
        <f>IF(VLOOKUP(Table30[[#This Row],[bal_nr]],Table2[#All],5,FALSE)=0,"",VLOOKUP(Table30[[#This Row],[bal_nr]],Table2[#All],5,FALSE))</f>
        <v/>
      </c>
      <c r="F69">
        <v>19</v>
      </c>
    </row>
    <row r="70" spans="1:6" x14ac:dyDescent="0.25">
      <c r="A70" s="1" t="s">
        <v>297</v>
      </c>
      <c r="B70" t="s">
        <v>450</v>
      </c>
      <c r="C70" t="str">
        <f>IF(VLOOKUP(Table30[[#This Row],[bal_nr]],Table2[#All],3,FALSE)=0,"",VLOOKUP(Table30[[#This Row],[bal_nr]],Table2[#All],3,FALSE))</f>
        <v>3.3 Complexe bedrijven</v>
      </c>
      <c r="D70" t="str">
        <f>IF(VLOOKUP(Table30[[#This Row],[bal_nr]],Table2[#All],4,FALSE)=0,"",VLOOKUP(Table30[[#This Row],[bal_nr]],Table2[#All],4,FALSE))</f>
        <v>3.3.8 Basischemie</v>
      </c>
      <c r="E70" t="str">
        <f>IF(VLOOKUP(Table30[[#This Row],[bal_nr]],Table2[#All],5,FALSE)=0,"",VLOOKUP(Table30[[#This Row],[bal_nr]],Table2[#All],5,FALSE))</f>
        <v/>
      </c>
      <c r="F70">
        <v>19</v>
      </c>
    </row>
    <row r="71" spans="1:6" x14ac:dyDescent="0.25">
      <c r="A71" s="1" t="s">
        <v>300</v>
      </c>
      <c r="B71" t="s">
        <v>453</v>
      </c>
      <c r="C71" t="str">
        <f>IF(VLOOKUP(Table30[[#This Row],[bal_nr]],Table2[#All],3,FALSE)=0,"",VLOOKUP(Table30[[#This Row],[bal_nr]],Table2[#All],3,FALSE))</f>
        <v>3.3 Complexe bedrijven</v>
      </c>
      <c r="D71" t="str">
        <f>IF(VLOOKUP(Table30[[#This Row],[bal_nr]],Table2[#All],4,FALSE)=0,"",VLOOKUP(Table30[[#This Row],[bal_nr]],Table2[#All],4,FALSE))</f>
        <v>3.3.8 Basischemie</v>
      </c>
      <c r="E71" t="str">
        <f>IF(VLOOKUP(Table30[[#This Row],[bal_nr]],Table2[#All],5,FALSE)=0,"",VLOOKUP(Table30[[#This Row],[bal_nr]],Table2[#All],5,FALSE))</f>
        <v/>
      </c>
      <c r="F71">
        <v>19</v>
      </c>
    </row>
    <row r="72" spans="1:6" x14ac:dyDescent="0.25">
      <c r="A72" s="1" t="s">
        <v>301</v>
      </c>
      <c r="B72" t="s">
        <v>454</v>
      </c>
      <c r="C72" t="str">
        <f>IF(VLOOKUP(Table30[[#This Row],[bal_nr]],Table2[#All],3,FALSE)=0,"",VLOOKUP(Table30[[#This Row],[bal_nr]],Table2[#All],3,FALSE))</f>
        <v>3.3 Complexe bedrijven</v>
      </c>
      <c r="D72" t="str">
        <f>IF(VLOOKUP(Table30[[#This Row],[bal_nr]],Table2[#All],4,FALSE)=0,"",VLOOKUP(Table30[[#This Row],[bal_nr]],Table2[#All],4,FALSE))</f>
        <v>3.3.8 Basischemie</v>
      </c>
      <c r="E72" t="str">
        <f>IF(VLOOKUP(Table30[[#This Row],[bal_nr]],Table2[#All],5,FALSE)=0,"",VLOOKUP(Table30[[#This Row],[bal_nr]],Table2[#All],5,FALSE))</f>
        <v/>
      </c>
      <c r="F72">
        <v>19</v>
      </c>
    </row>
    <row r="73" spans="1:6" x14ac:dyDescent="0.25">
      <c r="A73" s="1" t="s">
        <v>303</v>
      </c>
      <c r="B73" t="s">
        <v>456</v>
      </c>
      <c r="C73" t="str">
        <f>IF(VLOOKUP(Table30[[#This Row],[bal_nr]],Table2[#All],3,FALSE)=0,"",VLOOKUP(Table30[[#This Row],[bal_nr]],Table2[#All],3,FALSE))</f>
        <v>3.3 Complexe bedrijven</v>
      </c>
      <c r="D73" t="str">
        <f>IF(VLOOKUP(Table30[[#This Row],[bal_nr]],Table2[#All],4,FALSE)=0,"",VLOOKUP(Table30[[#This Row],[bal_nr]],Table2[#All],4,FALSE))</f>
        <v>3.3.8 Basischemie</v>
      </c>
      <c r="E73" t="str">
        <f>IF(VLOOKUP(Table30[[#This Row],[bal_nr]],Table2[#All],5,FALSE)=0,"",VLOOKUP(Table30[[#This Row],[bal_nr]],Table2[#All],5,FALSE))</f>
        <v/>
      </c>
      <c r="F73">
        <v>19</v>
      </c>
    </row>
    <row r="74" spans="1:6" x14ac:dyDescent="0.25">
      <c r="A74" s="1" t="s">
        <v>289</v>
      </c>
      <c r="B74" t="s">
        <v>442</v>
      </c>
      <c r="C74" t="str">
        <f>IF(VLOOKUP(Table30[[#This Row],[bal_nr]],Table2[#All],3,FALSE)=0,"",VLOOKUP(Table30[[#This Row],[bal_nr]],Table2[#All],3,FALSE))</f>
        <v>3.3 Complexe bedrijven</v>
      </c>
      <c r="D74" t="str">
        <f>IF(VLOOKUP(Table30[[#This Row],[bal_nr]],Table2[#All],4,FALSE)=0,"",VLOOKUP(Table30[[#This Row],[bal_nr]],Table2[#All],4,FALSE))</f>
        <v>3.3.8 Basischemie</v>
      </c>
      <c r="E74" t="str">
        <f>IF(VLOOKUP(Table30[[#This Row],[bal_nr]],Table2[#All],5,FALSE)=0,"",VLOOKUP(Table30[[#This Row],[bal_nr]],Table2[#All],5,FALSE))</f>
        <v>3.3.8 c het maken van fosfaat-, stikstof- of kaliumhoudende meststoffen</v>
      </c>
      <c r="F74">
        <v>22</v>
      </c>
    </row>
    <row r="75" spans="1:6" x14ac:dyDescent="0.25">
      <c r="A75" s="1" t="s">
        <v>292</v>
      </c>
      <c r="B75" t="s">
        <v>445</v>
      </c>
      <c r="C75" t="str">
        <f>IF(VLOOKUP(Table30[[#This Row],[bal_nr]],Table2[#All],3,FALSE)=0,"",VLOOKUP(Table30[[#This Row],[bal_nr]],Table2[#All],3,FALSE))</f>
        <v>3.3 Complexe bedrijven</v>
      </c>
      <c r="D75" t="str">
        <f>IF(VLOOKUP(Table30[[#This Row],[bal_nr]],Table2[#All],4,FALSE)=0,"",VLOOKUP(Table30[[#This Row],[bal_nr]],Table2[#All],4,FALSE))</f>
        <v>3.3.8 Basischemie</v>
      </c>
      <c r="E75" t="str">
        <f>IF(VLOOKUP(Table30[[#This Row],[bal_nr]],Table2[#All],5,FALSE)=0,"",VLOOKUP(Table30[[#This Row],[bal_nr]],Table2[#All],5,FALSE))</f>
        <v>3.3.8 d het maken van producten voor gewasbescherming of van biociden</v>
      </c>
      <c r="F75">
        <v>23</v>
      </c>
    </row>
    <row r="76" spans="1:6" x14ac:dyDescent="0.25">
      <c r="A76" s="1" t="s">
        <v>302</v>
      </c>
      <c r="B76" t="s">
        <v>455</v>
      </c>
      <c r="C76" t="str">
        <f>IF(VLOOKUP(Table30[[#This Row],[bal_nr]],Table2[#All],3,FALSE)=0,"",VLOOKUP(Table30[[#This Row],[bal_nr]],Table2[#All],3,FALSE))</f>
        <v>3.3 Complexe bedrijven</v>
      </c>
      <c r="D76" t="str">
        <f>IF(VLOOKUP(Table30[[#This Row],[bal_nr]],Table2[#All],4,FALSE)=0,"",VLOOKUP(Table30[[#This Row],[bal_nr]],Table2[#All],4,FALSE))</f>
        <v>3.3.8 Basischemie</v>
      </c>
      <c r="E76" t="str">
        <f>IF(VLOOKUP(Table30[[#This Row],[bal_nr]],Table2[#All],5,FALSE)=0,"",VLOOKUP(Table30[[#This Row],[bal_nr]],Table2[#All],5,FALSE))</f>
        <v>3.3.8 e het maken van farmaceutische producten</v>
      </c>
      <c r="F76">
        <v>24</v>
      </c>
    </row>
    <row r="77" spans="1:6" x14ac:dyDescent="0.25">
      <c r="A77" s="1" t="s">
        <v>304</v>
      </c>
      <c r="B77" t="s">
        <v>457</v>
      </c>
      <c r="C77" t="str">
        <f>IF(VLOOKUP(Table30[[#This Row],[bal_nr]],Table2[#All],3,FALSE)=0,"",VLOOKUP(Table30[[#This Row],[bal_nr]],Table2[#All],3,FALSE))</f>
        <v>3.3 Complexe bedrijven</v>
      </c>
      <c r="D77" t="str">
        <f>IF(VLOOKUP(Table30[[#This Row],[bal_nr]],Table2[#All],4,FALSE)=0,"",VLOOKUP(Table30[[#This Row],[bal_nr]],Table2[#All],4,FALSE))</f>
        <v>3.3.8 Basischemie</v>
      </c>
      <c r="E77" t="str">
        <f>IF(VLOOKUP(Table30[[#This Row],[bal_nr]],Table2[#All],5,FALSE)=0,"",VLOOKUP(Table30[[#This Row],[bal_nr]],Table2[#All],5,FALSE))</f>
        <v>3.3.8 e het maken van farmaceutische producten</v>
      </c>
      <c r="F77">
        <v>24</v>
      </c>
    </row>
    <row r="78" spans="1:6" x14ac:dyDescent="0.25">
      <c r="A78" s="1" t="s">
        <v>260</v>
      </c>
      <c r="B78" t="s">
        <v>413</v>
      </c>
      <c r="C78" t="str">
        <f>IF(VLOOKUP(Table30[[#This Row],[bal_nr]],Table2[#All],3,FALSE)=0,"",VLOOKUP(Table30[[#This Row],[bal_nr]],Table2[#All],3,FALSE))</f>
        <v>3.3 Complexe bedrijven</v>
      </c>
      <c r="D78" t="str">
        <f>IF(VLOOKUP(Table30[[#This Row],[bal_nr]],Table2[#All],4,FALSE)=0,"",VLOOKUP(Table30[[#This Row],[bal_nr]],Table2[#All],4,FALSE))</f>
        <v>3.3.9 Complexe papierindustrie, houtindustrie en textielindustrie</v>
      </c>
      <c r="E78" t="str">
        <f>IF(VLOOKUP(Table30[[#This Row],[bal_nr]],Table2[#All],5,FALSE)=0,"",VLOOKUP(Table30[[#This Row],[bal_nr]],Table2[#All],5,FALSE))</f>
        <v>3.3.9 a het maken van papierpulp, papier, karton, oriented strand board, spaanplaat of vezelplaat van hout</v>
      </c>
      <c r="F78">
        <v>26</v>
      </c>
    </row>
    <row r="79" spans="1:6" x14ac:dyDescent="0.25">
      <c r="A79" s="1" t="s">
        <v>267</v>
      </c>
      <c r="B79" t="s">
        <v>419</v>
      </c>
      <c r="C79" t="str">
        <f>IF(VLOOKUP(Table30[[#This Row],[bal_nr]],Table2[#All],3,FALSE)=0,"",VLOOKUP(Table30[[#This Row],[bal_nr]],Table2[#All],3,FALSE))</f>
        <v>3.3 Complexe bedrijven</v>
      </c>
      <c r="D79" t="str">
        <f>IF(VLOOKUP(Table30[[#This Row],[bal_nr]],Table2[#All],4,FALSE)=0,"",VLOOKUP(Table30[[#This Row],[bal_nr]],Table2[#All],4,FALSE))</f>
        <v>3.3.9 Complexe papierindustrie, houtindustrie en textielindustrie</v>
      </c>
      <c r="E79" t="str">
        <f>IF(VLOOKUP(Table30[[#This Row],[bal_nr]],Table2[#All],5,FALSE)=0,"",VLOOKUP(Table30[[#This Row],[bal_nr]],Table2[#All],5,FALSE))</f>
        <v>3.3.9 a het maken van papierpulp, papier, karton, oriented strand board, spaanplaat of vezelplaat van hout</v>
      </c>
      <c r="F79">
        <v>26</v>
      </c>
    </row>
    <row r="80" spans="1:6" x14ac:dyDescent="0.25">
      <c r="A80" s="1" t="s">
        <v>268</v>
      </c>
      <c r="B80" t="s">
        <v>420</v>
      </c>
      <c r="C80" t="str">
        <f>IF(VLOOKUP(Table30[[#This Row],[bal_nr]],Table2[#All],3,FALSE)=0,"",VLOOKUP(Table30[[#This Row],[bal_nr]],Table2[#All],3,FALSE))</f>
        <v>3.3 Complexe bedrijven</v>
      </c>
      <c r="D80" t="str">
        <f>IF(VLOOKUP(Table30[[#This Row],[bal_nr]],Table2[#All],4,FALSE)=0,"",VLOOKUP(Table30[[#This Row],[bal_nr]],Table2[#All],4,FALSE))</f>
        <v>3.3.9 Complexe papierindustrie, houtindustrie en textielindustrie</v>
      </c>
      <c r="E80" t="str">
        <f>IF(VLOOKUP(Table30[[#This Row],[bal_nr]],Table2[#All],5,FALSE)=0,"",VLOOKUP(Table30[[#This Row],[bal_nr]],Table2[#All],5,FALSE))</f>
        <v>3.3.9 a het maken van papierpulp, papier, karton, oriented strand board, spaanplaat of vezelplaat van hout</v>
      </c>
      <c r="F80">
        <v>26</v>
      </c>
    </row>
    <row r="81" spans="1:6" x14ac:dyDescent="0.25">
      <c r="A81" s="1" t="s">
        <v>241</v>
      </c>
      <c r="B81" t="s">
        <v>398</v>
      </c>
      <c r="C81" t="str">
        <f>IF(VLOOKUP(Table30[[#This Row],[bal_nr]],Table2[#All],3,FALSE)=0,"",VLOOKUP(Table30[[#This Row],[bal_nr]],Table2[#All],3,FALSE))</f>
        <v>3.3 Complexe bedrijven</v>
      </c>
      <c r="D81" t="str">
        <f>IF(VLOOKUP(Table30[[#This Row],[bal_nr]],Table2[#All],4,FALSE)=0,"",VLOOKUP(Table30[[#This Row],[bal_nr]],Table2[#All],4,FALSE))</f>
        <v>3.3.9 Complexe papierindustrie, houtindustrie en textielindustrie</v>
      </c>
      <c r="E81" t="str">
        <f>IF(VLOOKUP(Table30[[#This Row],[bal_nr]],Table2[#All],5,FALSE)=0,"",VLOOKUP(Table30[[#This Row],[bal_nr]],Table2[#All],5,FALSE))</f>
        <v>3.3.9 b het voorbehandelen of het verven van textielvezels of textiel</v>
      </c>
      <c r="F81">
        <v>27</v>
      </c>
    </row>
    <row r="82" spans="1:6" x14ac:dyDescent="0.25">
      <c r="A82" s="1" t="s">
        <v>242</v>
      </c>
      <c r="B82" t="s">
        <v>399</v>
      </c>
      <c r="C82" t="str">
        <f>IF(VLOOKUP(Table30[[#This Row],[bal_nr]],Table2[#All],3,FALSE)=0,"",VLOOKUP(Table30[[#This Row],[bal_nr]],Table2[#All],3,FALSE))</f>
        <v>3.3 Complexe bedrijven</v>
      </c>
      <c r="D82" t="str">
        <f>IF(VLOOKUP(Table30[[#This Row],[bal_nr]],Table2[#All],4,FALSE)=0,"",VLOOKUP(Table30[[#This Row],[bal_nr]],Table2[#All],4,FALSE))</f>
        <v>3.3.9 Complexe papierindustrie, houtindustrie en textielindustrie</v>
      </c>
      <c r="E82" t="str">
        <f>IF(VLOOKUP(Table30[[#This Row],[bal_nr]],Table2[#All],5,FALSE)=0,"",VLOOKUP(Table30[[#This Row],[bal_nr]],Table2[#All],5,FALSE))</f>
        <v>3.3.9 b het voorbehandelen of het verven van textielvezels of textiel</v>
      </c>
      <c r="F82">
        <v>27</v>
      </c>
    </row>
    <row r="83" spans="1:6" x14ac:dyDescent="0.25">
      <c r="A83" s="1" t="s">
        <v>244</v>
      </c>
      <c r="B83" t="s">
        <v>237</v>
      </c>
      <c r="C83" t="str">
        <f>IF(VLOOKUP(Table30[[#This Row],[bal_nr]],Table2[#All],3,FALSE)=0,"",VLOOKUP(Table30[[#This Row],[bal_nr]],Table2[#All],3,FALSE))</f>
        <v>3.3 Complexe bedrijven</v>
      </c>
      <c r="D83" t="str">
        <f>IF(VLOOKUP(Table30[[#This Row],[bal_nr]],Table2[#All],4,FALSE)=0,"",VLOOKUP(Table30[[#This Row],[bal_nr]],Table2[#All],4,FALSE))</f>
        <v>3.3.9 Complexe papierindustrie, houtindustrie en textielindustrie</v>
      </c>
      <c r="E83" t="str">
        <f>IF(VLOOKUP(Table30[[#This Row],[bal_nr]],Table2[#All],5,FALSE)=0,"",VLOOKUP(Table30[[#This Row],[bal_nr]],Table2[#All],5,FALSE))</f>
        <v>3.3.9 b het voorbehandelen of het verven van textielvezels of textiel</v>
      </c>
      <c r="F83">
        <v>27</v>
      </c>
    </row>
    <row r="84" spans="1:6" x14ac:dyDescent="0.25">
      <c r="A84" s="1" t="s">
        <v>157</v>
      </c>
      <c r="B84" t="s">
        <v>577</v>
      </c>
      <c r="C84" t="str">
        <f>IF(VLOOKUP(Table30[[#This Row],[bal_nr]],Table2[#All],3,FALSE)=0,"",VLOOKUP(Table30[[#This Row],[bal_nr]],Table2[#All],3,FALSE))</f>
        <v>3.4 Nutssector en industrie</v>
      </c>
      <c r="D84" t="str">
        <f>IF(VLOOKUP(Table30[[#This Row],[bal_nr]],Table2[#All],4,FALSE)=0,"",VLOOKUP(Table30[[#This Row],[bal_nr]],Table2[#All],4,FALSE))</f>
        <v>3.4.1 Drinkwaterbedrijf</v>
      </c>
      <c r="E84" t="str">
        <f>IF(VLOOKUP(Table30[[#This Row],[bal_nr]],Table2[#All],5,FALSE)=0,"",VLOOKUP(Table30[[#This Row],[bal_nr]],Table2[#All],5,FALSE))</f>
        <v/>
      </c>
      <c r="F84">
        <v>28</v>
      </c>
    </row>
    <row r="85" spans="1:6" x14ac:dyDescent="0.25">
      <c r="A85" s="1" t="s">
        <v>276</v>
      </c>
      <c r="B85" t="s">
        <v>427</v>
      </c>
      <c r="C85" t="str">
        <f>IF(VLOOKUP(Table30[[#This Row],[bal_nr]],Table2[#All],3,FALSE)=0,"",VLOOKUP(Table30[[#This Row],[bal_nr]],Table2[#All],3,FALSE))</f>
        <v>3.4 Nutssector en industrie</v>
      </c>
      <c r="D85" t="str">
        <f>IF(VLOOKUP(Table30[[#This Row],[bal_nr]],Table2[#All],4,FALSE)=0,"",VLOOKUP(Table30[[#This Row],[bal_nr]],Table2[#All],4,FALSE))</f>
        <v>3.4.10 Grafische industrie</v>
      </c>
      <c r="E85" t="str">
        <f>IF(VLOOKUP(Table30[[#This Row],[bal_nr]],Table2[#All],5,FALSE)=0,"",VLOOKUP(Table30[[#This Row],[bal_nr]],Table2[#All],5,FALSE))</f>
        <v/>
      </c>
      <c r="F85">
        <v>29</v>
      </c>
    </row>
    <row r="86" spans="1:6" x14ac:dyDescent="0.25">
      <c r="A86" s="1" t="s">
        <v>277</v>
      </c>
      <c r="B86" t="s">
        <v>428</v>
      </c>
      <c r="C86" t="str">
        <f>IF(VLOOKUP(Table30[[#This Row],[bal_nr]],Table2[#All],3,FALSE)=0,"",VLOOKUP(Table30[[#This Row],[bal_nr]],Table2[#All],3,FALSE))</f>
        <v>3.4 Nutssector en industrie</v>
      </c>
      <c r="D86" t="str">
        <f>IF(VLOOKUP(Table30[[#This Row],[bal_nr]],Table2[#All],4,FALSE)=0,"",VLOOKUP(Table30[[#This Row],[bal_nr]],Table2[#All],4,FALSE))</f>
        <v>3.4.10 Grafische industrie</v>
      </c>
      <c r="E86" t="str">
        <f>IF(VLOOKUP(Table30[[#This Row],[bal_nr]],Table2[#All],5,FALSE)=0,"",VLOOKUP(Table30[[#This Row],[bal_nr]],Table2[#All],5,FALSE))</f>
        <v/>
      </c>
      <c r="F86">
        <v>29</v>
      </c>
    </row>
    <row r="87" spans="1:6" x14ac:dyDescent="0.25">
      <c r="A87" s="1" t="s">
        <v>278</v>
      </c>
      <c r="B87" t="s">
        <v>429</v>
      </c>
      <c r="C87" t="str">
        <f>IF(VLOOKUP(Table30[[#This Row],[bal_nr]],Table2[#All],3,FALSE)=0,"",VLOOKUP(Table30[[#This Row],[bal_nr]],Table2[#All],3,FALSE))</f>
        <v>3.4 Nutssector en industrie</v>
      </c>
      <c r="D87" t="str">
        <f>IF(VLOOKUP(Table30[[#This Row],[bal_nr]],Table2[#All],4,FALSE)=0,"",VLOOKUP(Table30[[#This Row],[bal_nr]],Table2[#All],4,FALSE))</f>
        <v>3.4.10 Grafische industrie</v>
      </c>
      <c r="E87" t="str">
        <f>IF(VLOOKUP(Table30[[#This Row],[bal_nr]],Table2[#All],5,FALSE)=0,"",VLOOKUP(Table30[[#This Row],[bal_nr]],Table2[#All],5,FALSE))</f>
        <v/>
      </c>
      <c r="F87">
        <v>29</v>
      </c>
    </row>
    <row r="88" spans="1:6" x14ac:dyDescent="0.25">
      <c r="A88" s="1" t="s">
        <v>279</v>
      </c>
      <c r="B88" t="s">
        <v>430</v>
      </c>
      <c r="C88" t="str">
        <f>IF(VLOOKUP(Table30[[#This Row],[bal_nr]],Table2[#All],3,FALSE)=0,"",VLOOKUP(Table30[[#This Row],[bal_nr]],Table2[#All],3,FALSE))</f>
        <v>3.4 Nutssector en industrie</v>
      </c>
      <c r="D88" t="str">
        <f>IF(VLOOKUP(Table30[[#This Row],[bal_nr]],Table2[#All],4,FALSE)=0,"",VLOOKUP(Table30[[#This Row],[bal_nr]],Table2[#All],4,FALSE))</f>
        <v>3.4.10 Grafische industrie</v>
      </c>
      <c r="E88" t="str">
        <f>IF(VLOOKUP(Table30[[#This Row],[bal_nr]],Table2[#All],5,FALSE)=0,"",VLOOKUP(Table30[[#This Row],[bal_nr]],Table2[#All],5,FALSE))</f>
        <v/>
      </c>
      <c r="F88">
        <v>29</v>
      </c>
    </row>
    <row r="89" spans="1:6" x14ac:dyDescent="0.25">
      <c r="A89" s="1" t="s">
        <v>209</v>
      </c>
      <c r="B89" t="s">
        <v>178</v>
      </c>
      <c r="C89" t="str">
        <f>IF(VLOOKUP(Table30[[#This Row],[bal_nr]],Table2[#All],3,FALSE)=0,"",VLOOKUP(Table30[[#This Row],[bal_nr]],Table2[#All],3,FALSE))</f>
        <v>3.4 Nutssector en industrie</v>
      </c>
      <c r="D89" t="str">
        <f>IF(VLOOKUP(Table30[[#This Row],[bal_nr]],Table2[#All],4,FALSE)=0,"",VLOOKUP(Table30[[#This Row],[bal_nr]],Table2[#All],4,FALSE))</f>
        <v>3.4.10 Grafische industrie</v>
      </c>
      <c r="E89" t="str">
        <f>IF(VLOOKUP(Table30[[#This Row],[bal_nr]],Table2[#All],5,FALSE)=0,"",VLOOKUP(Table30[[#This Row],[bal_nr]],Table2[#All],5,FALSE))</f>
        <v/>
      </c>
      <c r="F89">
        <v>29</v>
      </c>
    </row>
    <row r="90" spans="1:6" x14ac:dyDescent="0.25">
      <c r="A90" s="1" t="s">
        <v>213</v>
      </c>
      <c r="B90" t="s">
        <v>620</v>
      </c>
      <c r="C90" t="str">
        <f>IF(VLOOKUP(Table30[[#This Row],[bal_nr]],Table2[#All],3,FALSE)=0,"",VLOOKUP(Table30[[#This Row],[bal_nr]],Table2[#All],3,FALSE))</f>
        <v>3.4 Nutssector en industrie</v>
      </c>
      <c r="D90" t="str">
        <f>IF(VLOOKUP(Table30[[#This Row],[bal_nr]],Table2[#All],4,FALSE)=0,"",VLOOKUP(Table30[[#This Row],[bal_nr]],Table2[#All],4,FALSE))</f>
        <v>3.4.10 Grafische industrie</v>
      </c>
      <c r="E90" t="str">
        <f>IF(VLOOKUP(Table30[[#This Row],[bal_nr]],Table2[#All],5,FALSE)=0,"",VLOOKUP(Table30[[#This Row],[bal_nr]],Table2[#All],5,FALSE))</f>
        <v/>
      </c>
      <c r="F90">
        <v>29</v>
      </c>
    </row>
    <row r="91" spans="1:6" x14ac:dyDescent="0.25">
      <c r="A91" s="1" t="s">
        <v>135</v>
      </c>
      <c r="B91" t="s">
        <v>557</v>
      </c>
      <c r="C91" t="str">
        <f>IF(VLOOKUP(Table30[[#This Row],[bal_nr]],Table2[#All],3,FALSE)=0,"",VLOOKUP(Table30[[#This Row],[bal_nr]],Table2[#All],3,FALSE))</f>
        <v>3.4 Nutssector en industrie</v>
      </c>
      <c r="D91" t="str">
        <f>IF(VLOOKUP(Table30[[#This Row],[bal_nr]],Table2[#All],4,FALSE)=0,"",VLOOKUP(Table30[[#This Row],[bal_nr]],Table2[#All],4,FALSE))</f>
        <v>3.4.11 Scheepswerven</v>
      </c>
      <c r="E91" t="str">
        <f>IF(VLOOKUP(Table30[[#This Row],[bal_nr]],Table2[#All],5,FALSE)=0,"",VLOOKUP(Table30[[#This Row],[bal_nr]],Table2[#All],5,FALSE))</f>
        <v>3.4.11 a het maken van vaartuigen of drijvende werktuigen</v>
      </c>
      <c r="F91">
        <v>30</v>
      </c>
    </row>
    <row r="92" spans="1:6" x14ac:dyDescent="0.25">
      <c r="A92" s="1" t="s">
        <v>136</v>
      </c>
      <c r="B92" t="s">
        <v>125</v>
      </c>
      <c r="C92" t="str">
        <f>IF(VLOOKUP(Table30[[#This Row],[bal_nr]],Table2[#All],3,FALSE)=0,"",VLOOKUP(Table30[[#This Row],[bal_nr]],Table2[#All],3,FALSE))</f>
        <v>3.4 Nutssector en industrie</v>
      </c>
      <c r="D92" t="str">
        <f>IF(VLOOKUP(Table30[[#This Row],[bal_nr]],Table2[#All],4,FALSE)=0,"",VLOOKUP(Table30[[#This Row],[bal_nr]],Table2[#All],4,FALSE))</f>
        <v>3.4.11 Scheepswerven</v>
      </c>
      <c r="E92" t="str">
        <f>IF(VLOOKUP(Table30[[#This Row],[bal_nr]],Table2[#All],5,FALSE)=0,"",VLOOKUP(Table30[[#This Row],[bal_nr]],Table2[#All],5,FALSE))</f>
        <v>3.4.11 a het maken van vaartuigen of drijvende werktuigen</v>
      </c>
      <c r="F92">
        <v>30</v>
      </c>
    </row>
    <row r="93" spans="1:6" x14ac:dyDescent="0.25">
      <c r="A93" s="1" t="s">
        <v>137</v>
      </c>
      <c r="B93" t="s">
        <v>558</v>
      </c>
      <c r="C93" t="str">
        <f>IF(VLOOKUP(Table30[[#This Row],[bal_nr]],Table2[#All],3,FALSE)=0,"",VLOOKUP(Table30[[#This Row],[bal_nr]],Table2[#All],3,FALSE))</f>
        <v>3.4 Nutssector en industrie</v>
      </c>
      <c r="D93" t="str">
        <f>IF(VLOOKUP(Table30[[#This Row],[bal_nr]],Table2[#All],4,FALSE)=0,"",VLOOKUP(Table30[[#This Row],[bal_nr]],Table2[#All],4,FALSE))</f>
        <v>3.4.11 Scheepswerven</v>
      </c>
      <c r="E93" t="str">
        <f>IF(VLOOKUP(Table30[[#This Row],[bal_nr]],Table2[#All],5,FALSE)=0,"",VLOOKUP(Table30[[#This Row],[bal_nr]],Table2[#All],5,FALSE))</f>
        <v>3.4.11 a het maken van vaartuigen of drijvende werktuigen</v>
      </c>
      <c r="F93">
        <v>30</v>
      </c>
    </row>
    <row r="94" spans="1:6" x14ac:dyDescent="0.25">
      <c r="A94" s="1" t="s">
        <v>138</v>
      </c>
      <c r="B94" t="s">
        <v>559</v>
      </c>
      <c r="C94" t="str">
        <f>IF(VLOOKUP(Table30[[#This Row],[bal_nr]],Table2[#All],3,FALSE)=0,"",VLOOKUP(Table30[[#This Row],[bal_nr]],Table2[#All],3,FALSE))</f>
        <v>3.4 Nutssector en industrie</v>
      </c>
      <c r="D94" t="str">
        <f>IF(VLOOKUP(Table30[[#This Row],[bal_nr]],Table2[#All],4,FALSE)=0,"",VLOOKUP(Table30[[#This Row],[bal_nr]],Table2[#All],4,FALSE))</f>
        <v>3.4.11 Scheepswerven</v>
      </c>
      <c r="E94" t="str">
        <f>IF(VLOOKUP(Table30[[#This Row],[bal_nr]],Table2[#All],5,FALSE)=0,"",VLOOKUP(Table30[[#This Row],[bal_nr]],Table2[#All],5,FALSE))</f>
        <v>3.4.11 a het maken van vaartuigen of drijvende werktuigen</v>
      </c>
      <c r="F94">
        <v>30</v>
      </c>
    </row>
    <row r="95" spans="1:6" x14ac:dyDescent="0.25">
      <c r="A95" s="1" t="s">
        <v>150</v>
      </c>
      <c r="B95" t="s">
        <v>571</v>
      </c>
      <c r="C95" t="str">
        <f>IF(VLOOKUP(Table30[[#This Row],[bal_nr]],Table2[#All],3,FALSE)=0,"",VLOOKUP(Table30[[#This Row],[bal_nr]],Table2[#All],3,FALSE))</f>
        <v>3.4 Nutssector en industrie</v>
      </c>
      <c r="D95" t="str">
        <f>IF(VLOOKUP(Table30[[#This Row],[bal_nr]],Table2[#All],4,FALSE)=0,"",VLOOKUP(Table30[[#This Row],[bal_nr]],Table2[#All],4,FALSE))</f>
        <v>3.4.11 Scheepswerven</v>
      </c>
      <c r="E95" t="str">
        <f>IF(VLOOKUP(Table30[[#This Row],[bal_nr]],Table2[#All],5,FALSE)=0,"",VLOOKUP(Table30[[#This Row],[bal_nr]],Table2[#All],5,FALSE))</f>
        <v>3.4.11 b het onderhouden, repareren en schoonmaken van vaartuigen of drijvende werktuigen, als dat geheel of gedeeltelijk op de wal of in een drijvend dok gebeurt</v>
      </c>
      <c r="F95">
        <v>31</v>
      </c>
    </row>
    <row r="96" spans="1:6" x14ac:dyDescent="0.25">
      <c r="A96" s="1" t="s">
        <v>155</v>
      </c>
      <c r="B96" t="s">
        <v>574</v>
      </c>
      <c r="C96" t="str">
        <f>IF(VLOOKUP(Table30[[#This Row],[bal_nr]],Table2[#All],3,FALSE)=0,"",VLOOKUP(Table30[[#This Row],[bal_nr]],Table2[#All],3,FALSE))</f>
        <v>3.4 Nutssector en industrie</v>
      </c>
      <c r="D96" t="str">
        <f>IF(VLOOKUP(Table30[[#This Row],[bal_nr]],Table2[#All],4,FALSE)=0,"",VLOOKUP(Table30[[#This Row],[bal_nr]],Table2[#All],4,FALSE))</f>
        <v>3.4.3 Buisleiding met gevaarlijke stoffen</v>
      </c>
      <c r="E96" t="str">
        <f>IF(VLOOKUP(Table30[[#This Row],[bal_nr]],Table2[#All],5,FALSE)=0,"",VLOOKUP(Table30[[#This Row],[bal_nr]],Table2[#All],5,FALSE))</f>
        <v/>
      </c>
      <c r="F96">
        <v>32</v>
      </c>
    </row>
    <row r="97" spans="1:6" x14ac:dyDescent="0.25">
      <c r="A97" s="1" t="s">
        <v>198</v>
      </c>
      <c r="B97" t="s">
        <v>612</v>
      </c>
      <c r="C97" t="str">
        <f>IF(VLOOKUP(Table30[[#This Row],[bal_nr]],Table2[#All],3,FALSE)=0,"",VLOOKUP(Table30[[#This Row],[bal_nr]],Table2[#All],3,FALSE))</f>
        <v>3.4 Nutssector en industrie</v>
      </c>
      <c r="D97" t="str">
        <f>IF(VLOOKUP(Table30[[#This Row],[bal_nr]],Table2[#All],4,FALSE)=0,"",VLOOKUP(Table30[[#This Row],[bal_nr]],Table2[#All],4,FALSE))</f>
        <v>3.4.3 Buisleiding met gevaarlijke stoffen</v>
      </c>
      <c r="E97" t="str">
        <f>IF(VLOOKUP(Table30[[#This Row],[bal_nr]],Table2[#All],5,FALSE)=0,"",VLOOKUP(Table30[[#This Row],[bal_nr]],Table2[#All],5,FALSE))</f>
        <v/>
      </c>
      <c r="F97">
        <v>32</v>
      </c>
    </row>
    <row r="98" spans="1:6" x14ac:dyDescent="0.25">
      <c r="A98" s="1" t="s">
        <v>200</v>
      </c>
      <c r="B98" t="s">
        <v>614</v>
      </c>
      <c r="C98" t="str">
        <f>IF(VLOOKUP(Table30[[#This Row],[bal_nr]],Table2[#All],3,FALSE)=0,"",VLOOKUP(Table30[[#This Row],[bal_nr]],Table2[#All],3,FALSE))</f>
        <v>3.4 Nutssector en industrie</v>
      </c>
      <c r="D98" t="str">
        <f>IF(VLOOKUP(Table30[[#This Row],[bal_nr]],Table2[#All],4,FALSE)=0,"",VLOOKUP(Table30[[#This Row],[bal_nr]],Table2[#All],4,FALSE))</f>
        <v>3.4.3 Buisleiding met gevaarlijke stoffen</v>
      </c>
      <c r="E98" t="str">
        <f>IF(VLOOKUP(Table30[[#This Row],[bal_nr]],Table2[#All],5,FALSE)=0,"",VLOOKUP(Table30[[#This Row],[bal_nr]],Table2[#All],5,FALSE))</f>
        <v/>
      </c>
      <c r="F98">
        <v>32</v>
      </c>
    </row>
    <row r="99" spans="1:6" x14ac:dyDescent="0.25">
      <c r="A99" s="1" t="s">
        <v>87</v>
      </c>
      <c r="B99" t="s">
        <v>511</v>
      </c>
      <c r="C99" t="str">
        <f>IF(VLOOKUP(Table30[[#This Row],[bal_nr]],Table2[#All],3,FALSE)=0,"",VLOOKUP(Table30[[#This Row],[bal_nr]],Table2[#All],3,FALSE))</f>
        <v>3.4 Nutssector en industrie</v>
      </c>
      <c r="D99" t="str">
        <f>IF(VLOOKUP(Table30[[#This Row],[bal_nr]],Table2[#All],4,FALSE)=0,"",VLOOKUP(Table30[[#This Row],[bal_nr]],Table2[#All],4,FALSE))</f>
        <v>3.4.4 Metaalproductenindustrie</v>
      </c>
      <c r="E99" t="str">
        <f>IF(VLOOKUP(Table30[[#This Row],[bal_nr]],Table2[#All],5,FALSE)=0,"",VLOOKUP(Table30[[#This Row],[bal_nr]],Table2[#All],5,FALSE))</f>
        <v>3.4.4 a het behandelen van het oppervlak van metalen of kunststoffen door een elektrolytisch of chemisch procedé</v>
      </c>
      <c r="F99">
        <v>34</v>
      </c>
    </row>
    <row r="100" spans="1:6" x14ac:dyDescent="0.25">
      <c r="A100" s="1" t="s">
        <v>86</v>
      </c>
      <c r="B100" t="s">
        <v>510</v>
      </c>
      <c r="C100" t="str">
        <f>IF(VLOOKUP(Table30[[#This Row],[bal_nr]],Table2[#All],3,FALSE)=0,"",VLOOKUP(Table30[[#This Row],[bal_nr]],Table2[#All],3,FALSE))</f>
        <v>3.4 Nutssector en industrie</v>
      </c>
      <c r="D100" t="str">
        <f>IF(VLOOKUP(Table30[[#This Row],[bal_nr]],Table2[#All],4,FALSE)=0,"",VLOOKUP(Table30[[#This Row],[bal_nr]],Table2[#All],4,FALSE))</f>
        <v>3.4.4 Metaalproductenindustrie</v>
      </c>
      <c r="E100" t="str">
        <f>IF(VLOOKUP(Table30[[#This Row],[bal_nr]],Table2[#All],5,FALSE)=0,"",VLOOKUP(Table30[[#This Row],[bal_nr]],Table2[#All],5,FALSE))</f>
        <v>3.4.4 b het verwerken van metalen door smeden met hamers, smelten, legeren, gieten, walsen, trekken of klinken</v>
      </c>
      <c r="F100">
        <v>35</v>
      </c>
    </row>
    <row r="101" spans="1:6" x14ac:dyDescent="0.25">
      <c r="A101" s="1" t="s">
        <v>69</v>
      </c>
      <c r="B101" t="s">
        <v>493</v>
      </c>
      <c r="C101" t="str">
        <f>IF(VLOOKUP(Table30[[#This Row],[bal_nr]],Table2[#All],3,FALSE)=0,"",VLOOKUP(Table30[[#This Row],[bal_nr]],Table2[#All],3,FALSE))</f>
        <v>3.4 Nutssector en industrie</v>
      </c>
      <c r="D101" t="str">
        <f>IF(VLOOKUP(Table30[[#This Row],[bal_nr]],Table2[#All],4,FALSE)=0,"",VLOOKUP(Table30[[#This Row],[bal_nr]],Table2[#All],4,FALSE))</f>
        <v>3.4.4 Metaalproductenindustrie</v>
      </c>
      <c r="E101" t="str">
        <f>IF(VLOOKUP(Table30[[#This Row],[bal_nr]],Table2[#All],5,FALSE)=0,"",VLOOKUP(Table30[[#This Row],[bal_nr]],Table2[#All],5,FALSE))</f>
        <v>3.4.4 b het verwerken van metalen door smeden met hamers, smelten, legeren, gieten, walsen, trekken of klinken</v>
      </c>
      <c r="F101">
        <v>35</v>
      </c>
    </row>
    <row r="102" spans="1:6" x14ac:dyDescent="0.25">
      <c r="A102" s="1" t="s">
        <v>73</v>
      </c>
      <c r="B102" t="s">
        <v>497</v>
      </c>
      <c r="C102" t="str">
        <f>IF(VLOOKUP(Table30[[#This Row],[bal_nr]],Table2[#All],3,FALSE)=0,"",VLOOKUP(Table30[[#This Row],[bal_nr]],Table2[#All],3,FALSE))</f>
        <v>3.4 Nutssector en industrie</v>
      </c>
      <c r="D102" t="str">
        <f>IF(VLOOKUP(Table30[[#This Row],[bal_nr]],Table2[#All],4,FALSE)=0,"",VLOOKUP(Table30[[#This Row],[bal_nr]],Table2[#All],4,FALSE))</f>
        <v>3.4.4 Metaalproductenindustrie</v>
      </c>
      <c r="E102" t="str">
        <f>IF(VLOOKUP(Table30[[#This Row],[bal_nr]],Table2[#All],5,FALSE)=0,"",VLOOKUP(Table30[[#This Row],[bal_nr]],Table2[#All],5,FALSE))</f>
        <v>3.4.4 b het verwerken van metalen door smeden met hamers, smelten, legeren, gieten, walsen, trekken of klinken</v>
      </c>
      <c r="F102">
        <v>35</v>
      </c>
    </row>
    <row r="103" spans="1:6" x14ac:dyDescent="0.25">
      <c r="A103" s="1" t="s">
        <v>74</v>
      </c>
      <c r="B103" t="s">
        <v>498</v>
      </c>
      <c r="C103" t="str">
        <f>IF(VLOOKUP(Table30[[#This Row],[bal_nr]],Table2[#All],3,FALSE)=0,"",VLOOKUP(Table30[[#This Row],[bal_nr]],Table2[#All],3,FALSE))</f>
        <v>3.4 Nutssector en industrie</v>
      </c>
      <c r="D103" t="str">
        <f>IF(VLOOKUP(Table30[[#This Row],[bal_nr]],Table2[#All],4,FALSE)=0,"",VLOOKUP(Table30[[#This Row],[bal_nr]],Table2[#All],4,FALSE))</f>
        <v>3.4.4 Metaalproductenindustrie</v>
      </c>
      <c r="E103" t="str">
        <f>IF(VLOOKUP(Table30[[#This Row],[bal_nr]],Table2[#All],5,FALSE)=0,"",VLOOKUP(Table30[[#This Row],[bal_nr]],Table2[#All],5,FALSE))</f>
        <v>3.4.4 b het verwerken van metalen door smeden met hamers, smelten, legeren, gieten, walsen, trekken of klinken</v>
      </c>
      <c r="F103">
        <v>35</v>
      </c>
    </row>
    <row r="104" spans="1:6" x14ac:dyDescent="0.25">
      <c r="A104" s="1" t="s">
        <v>75</v>
      </c>
      <c r="B104" t="s">
        <v>499</v>
      </c>
      <c r="C104" t="str">
        <f>IF(VLOOKUP(Table30[[#This Row],[bal_nr]],Table2[#All],3,FALSE)=0,"",VLOOKUP(Table30[[#This Row],[bal_nr]],Table2[#All],3,FALSE))</f>
        <v>3.4 Nutssector en industrie</v>
      </c>
      <c r="D104" t="str">
        <f>IF(VLOOKUP(Table30[[#This Row],[bal_nr]],Table2[#All],4,FALSE)=0,"",VLOOKUP(Table30[[#This Row],[bal_nr]],Table2[#All],4,FALSE))</f>
        <v>3.4.4 Metaalproductenindustrie</v>
      </c>
      <c r="E104" t="str">
        <f>IF(VLOOKUP(Table30[[#This Row],[bal_nr]],Table2[#All],5,FALSE)=0,"",VLOOKUP(Table30[[#This Row],[bal_nr]],Table2[#All],5,FALSE))</f>
        <v>3.4.4 b het verwerken van metalen door smeden met hamers, smelten, legeren, gieten, walsen, trekken of klinken</v>
      </c>
      <c r="F104">
        <v>35</v>
      </c>
    </row>
    <row r="105" spans="1:6" x14ac:dyDescent="0.25">
      <c r="A105" s="1" t="s">
        <v>76</v>
      </c>
      <c r="B105" t="s">
        <v>500</v>
      </c>
      <c r="C105" t="str">
        <f>IF(VLOOKUP(Table30[[#This Row],[bal_nr]],Table2[#All],3,FALSE)=0,"",VLOOKUP(Table30[[#This Row],[bal_nr]],Table2[#All],3,FALSE))</f>
        <v>3.4 Nutssector en industrie</v>
      </c>
      <c r="D105" t="str">
        <f>IF(VLOOKUP(Table30[[#This Row],[bal_nr]],Table2[#All],4,FALSE)=0,"",VLOOKUP(Table30[[#This Row],[bal_nr]],Table2[#All],4,FALSE))</f>
        <v>3.4.4 Metaalproductenindustrie</v>
      </c>
      <c r="E105" t="str">
        <f>IF(VLOOKUP(Table30[[#This Row],[bal_nr]],Table2[#All],5,FALSE)=0,"",VLOOKUP(Table30[[#This Row],[bal_nr]],Table2[#All],5,FALSE))</f>
        <v>3.4.4 b het verwerken van metalen door smeden met hamers, smelten, legeren, gieten, walsen, trekken of klinken</v>
      </c>
      <c r="F105">
        <v>35</v>
      </c>
    </row>
    <row r="106" spans="1:6" x14ac:dyDescent="0.25">
      <c r="A106" s="1" t="s">
        <v>77</v>
      </c>
      <c r="B106" t="s">
        <v>501</v>
      </c>
      <c r="C106" t="str">
        <f>IF(VLOOKUP(Table30[[#This Row],[bal_nr]],Table2[#All],3,FALSE)=0,"",VLOOKUP(Table30[[#This Row],[bal_nr]],Table2[#All],3,FALSE))</f>
        <v>3.4 Nutssector en industrie</v>
      </c>
      <c r="D106" t="str">
        <f>IF(VLOOKUP(Table30[[#This Row],[bal_nr]],Table2[#All],4,FALSE)=0,"",VLOOKUP(Table30[[#This Row],[bal_nr]],Table2[#All],4,FALSE))</f>
        <v>3.4.4 Metaalproductenindustrie</v>
      </c>
      <c r="E106" t="str">
        <f>IF(VLOOKUP(Table30[[#This Row],[bal_nr]],Table2[#All],5,FALSE)=0,"",VLOOKUP(Table30[[#This Row],[bal_nr]],Table2[#All],5,FALSE))</f>
        <v>3.4.4 b het verwerken van metalen door smeden met hamers, smelten, legeren, gieten, walsen, trekken of klinken</v>
      </c>
      <c r="F106">
        <v>35</v>
      </c>
    </row>
    <row r="107" spans="1:6" x14ac:dyDescent="0.25">
      <c r="A107" s="1" t="s">
        <v>78</v>
      </c>
      <c r="B107" t="s">
        <v>502</v>
      </c>
      <c r="C107" t="str">
        <f>IF(VLOOKUP(Table30[[#This Row],[bal_nr]],Table2[#All],3,FALSE)=0,"",VLOOKUP(Table30[[#This Row],[bal_nr]],Table2[#All],3,FALSE))</f>
        <v>3.4 Nutssector en industrie</v>
      </c>
      <c r="D107" t="str">
        <f>IF(VLOOKUP(Table30[[#This Row],[bal_nr]],Table2[#All],4,FALSE)=0,"",VLOOKUP(Table30[[#This Row],[bal_nr]],Table2[#All],4,FALSE))</f>
        <v>3.4.4 Metaalproductenindustrie</v>
      </c>
      <c r="E107" t="str">
        <f>IF(VLOOKUP(Table30[[#This Row],[bal_nr]],Table2[#All],5,FALSE)=0,"",VLOOKUP(Table30[[#This Row],[bal_nr]],Table2[#All],5,FALSE))</f>
        <v>3.4.4 b het verwerken van metalen door smeden met hamers, smelten, legeren, gieten, walsen, trekken of klinken</v>
      </c>
      <c r="F107">
        <v>35</v>
      </c>
    </row>
    <row r="108" spans="1:6" x14ac:dyDescent="0.25">
      <c r="A108" s="1" t="s">
        <v>87</v>
      </c>
      <c r="B108" t="s">
        <v>511</v>
      </c>
      <c r="C108" t="str">
        <f>IF(VLOOKUP(Table30[[#This Row],[bal_nr]],Table2[#All],3,FALSE)=0,"",VLOOKUP(Table30[[#This Row],[bal_nr]],Table2[#All],3,FALSE))</f>
        <v>3.4 Nutssector en industrie</v>
      </c>
      <c r="D108" t="str">
        <f>IF(VLOOKUP(Table30[[#This Row],[bal_nr]],Table2[#All],4,FALSE)=0,"",VLOOKUP(Table30[[#This Row],[bal_nr]],Table2[#All],4,FALSE))</f>
        <v>3.4.4 Metaalproductenindustrie</v>
      </c>
      <c r="E108" t="str">
        <f>IF(VLOOKUP(Table30[[#This Row],[bal_nr]],Table2[#All],5,FALSE)=0,"",VLOOKUP(Table30[[#This Row],[bal_nr]],Table2[#All],5,FALSE))</f>
        <v>3.4.4 d het behandelen van de oppervlakte van metalen door een elektrolytisch of chemisch procedé</v>
      </c>
      <c r="F108">
        <v>37</v>
      </c>
    </row>
    <row r="109" spans="1:6" x14ac:dyDescent="0.25">
      <c r="A109" s="1" t="s">
        <v>64</v>
      </c>
      <c r="B109" t="s">
        <v>488</v>
      </c>
      <c r="C109" t="str">
        <f>IF(VLOOKUP(Table30[[#This Row],[bal_nr]],Table2[#All],3,FALSE)=0,"",VLOOKUP(Table30[[#This Row],[bal_nr]],Table2[#All],3,FALSE))</f>
        <v>3.4 Nutssector en industrie</v>
      </c>
      <c r="D109" t="str">
        <f>IF(VLOOKUP(Table30[[#This Row],[bal_nr]],Table2[#All],4,FALSE)=0,"",VLOOKUP(Table30[[#This Row],[bal_nr]],Table2[#All],4,FALSE))</f>
        <v>3.4.4 Metaalproductenindustrie</v>
      </c>
      <c r="E109" t="str">
        <f>IF(VLOOKUP(Table30[[#This Row],[bal_nr]],Table2[#All],5,FALSE)=0,"",VLOOKUP(Table30[[#This Row],[bal_nr]],Table2[#All],5,FALSE))</f>
        <v>3.4.4 f het maken van producten van metaal</v>
      </c>
      <c r="F109">
        <v>38</v>
      </c>
    </row>
    <row r="110" spans="1:6" x14ac:dyDescent="0.25">
      <c r="A110" s="1" t="s">
        <v>69</v>
      </c>
      <c r="B110" t="s">
        <v>493</v>
      </c>
      <c r="C110" t="str">
        <f>IF(VLOOKUP(Table30[[#This Row],[bal_nr]],Table2[#All],3,FALSE)=0,"",VLOOKUP(Table30[[#This Row],[bal_nr]],Table2[#All],3,FALSE))</f>
        <v>3.4 Nutssector en industrie</v>
      </c>
      <c r="D110" t="str">
        <f>IF(VLOOKUP(Table30[[#This Row],[bal_nr]],Table2[#All],4,FALSE)=0,"",VLOOKUP(Table30[[#This Row],[bal_nr]],Table2[#All],4,FALSE))</f>
        <v>3.4.4 Metaalproductenindustrie</v>
      </c>
      <c r="E110" t="str">
        <f>IF(VLOOKUP(Table30[[#This Row],[bal_nr]],Table2[#All],5,FALSE)=0,"",VLOOKUP(Table30[[#This Row],[bal_nr]],Table2[#All],5,FALSE))</f>
        <v>3.4.4 f het maken van producten van metaal</v>
      </c>
      <c r="F110">
        <v>38</v>
      </c>
    </row>
    <row r="111" spans="1:6" x14ac:dyDescent="0.25">
      <c r="A111" s="1" t="s">
        <v>73</v>
      </c>
      <c r="B111" t="s">
        <v>497</v>
      </c>
      <c r="C111" t="str">
        <f>IF(VLOOKUP(Table30[[#This Row],[bal_nr]],Table2[#All],3,FALSE)=0,"",VLOOKUP(Table30[[#This Row],[bal_nr]],Table2[#All],3,FALSE))</f>
        <v>3.4 Nutssector en industrie</v>
      </c>
      <c r="D111" t="str">
        <f>IF(VLOOKUP(Table30[[#This Row],[bal_nr]],Table2[#All],4,FALSE)=0,"",VLOOKUP(Table30[[#This Row],[bal_nr]],Table2[#All],4,FALSE))</f>
        <v>3.4.4 Metaalproductenindustrie</v>
      </c>
      <c r="E111" t="str">
        <f>IF(VLOOKUP(Table30[[#This Row],[bal_nr]],Table2[#All],5,FALSE)=0,"",VLOOKUP(Table30[[#This Row],[bal_nr]],Table2[#All],5,FALSE))</f>
        <v>3.4.4 f het maken van producten van metaal</v>
      </c>
      <c r="F111">
        <v>38</v>
      </c>
    </row>
    <row r="112" spans="1:6" x14ac:dyDescent="0.25">
      <c r="A112" s="1" t="s">
        <v>77</v>
      </c>
      <c r="B112" t="s">
        <v>501</v>
      </c>
      <c r="C112" t="str">
        <f>IF(VLOOKUP(Table30[[#This Row],[bal_nr]],Table2[#All],3,FALSE)=0,"",VLOOKUP(Table30[[#This Row],[bal_nr]],Table2[#All],3,FALSE))</f>
        <v>3.4 Nutssector en industrie</v>
      </c>
      <c r="D112" t="str">
        <f>IF(VLOOKUP(Table30[[#This Row],[bal_nr]],Table2[#All],4,FALSE)=0,"",VLOOKUP(Table30[[#This Row],[bal_nr]],Table2[#All],4,FALSE))</f>
        <v>3.4.4 Metaalproductenindustrie</v>
      </c>
      <c r="E112" t="str">
        <f>IF(VLOOKUP(Table30[[#This Row],[bal_nr]],Table2[#All],5,FALSE)=0,"",VLOOKUP(Table30[[#This Row],[bal_nr]],Table2[#All],5,FALSE))</f>
        <v>3.4.4 f het maken van producten van metaal</v>
      </c>
      <c r="F112">
        <v>38</v>
      </c>
    </row>
    <row r="113" spans="1:6" x14ac:dyDescent="0.25">
      <c r="A113" s="1" t="s">
        <v>78</v>
      </c>
      <c r="B113" t="s">
        <v>502</v>
      </c>
      <c r="C113" t="str">
        <f>IF(VLOOKUP(Table30[[#This Row],[bal_nr]],Table2[#All],3,FALSE)=0,"",VLOOKUP(Table30[[#This Row],[bal_nr]],Table2[#All],3,FALSE))</f>
        <v>3.4 Nutssector en industrie</v>
      </c>
      <c r="D113" t="str">
        <f>IF(VLOOKUP(Table30[[#This Row],[bal_nr]],Table2[#All],4,FALSE)=0,"",VLOOKUP(Table30[[#This Row],[bal_nr]],Table2[#All],4,FALSE))</f>
        <v>3.4.4 Metaalproductenindustrie</v>
      </c>
      <c r="E113" t="str">
        <f>IF(VLOOKUP(Table30[[#This Row],[bal_nr]],Table2[#All],5,FALSE)=0,"",VLOOKUP(Table30[[#This Row],[bal_nr]],Table2[#All],5,FALSE))</f>
        <v>3.4.4 f het maken van producten van metaal</v>
      </c>
      <c r="F113">
        <v>38</v>
      </c>
    </row>
    <row r="114" spans="1:6" x14ac:dyDescent="0.25">
      <c r="A114" s="1" t="s">
        <v>79</v>
      </c>
      <c r="B114" t="s">
        <v>503</v>
      </c>
      <c r="C114" t="str">
        <f>IF(VLOOKUP(Table30[[#This Row],[bal_nr]],Table2[#All],3,FALSE)=0,"",VLOOKUP(Table30[[#This Row],[bal_nr]],Table2[#All],3,FALSE))</f>
        <v>3.4 Nutssector en industrie</v>
      </c>
      <c r="D114" t="str">
        <f>IF(VLOOKUP(Table30[[#This Row],[bal_nr]],Table2[#All],4,FALSE)=0,"",VLOOKUP(Table30[[#This Row],[bal_nr]],Table2[#All],4,FALSE))</f>
        <v>3.4.4 Metaalproductenindustrie</v>
      </c>
      <c r="E114" t="str">
        <f>IF(VLOOKUP(Table30[[#This Row],[bal_nr]],Table2[#All],5,FALSE)=0,"",VLOOKUP(Table30[[#This Row],[bal_nr]],Table2[#All],5,FALSE))</f>
        <v>3.4.4 f het maken van producten van metaal</v>
      </c>
      <c r="F114">
        <v>38</v>
      </c>
    </row>
    <row r="115" spans="1:6" x14ac:dyDescent="0.25">
      <c r="A115" s="1" t="s">
        <v>96</v>
      </c>
      <c r="B115" t="s">
        <v>520</v>
      </c>
      <c r="C115" t="str">
        <f>IF(VLOOKUP(Table30[[#This Row],[bal_nr]],Table2[#All],3,FALSE)=0,"",VLOOKUP(Table30[[#This Row],[bal_nr]],Table2[#All],3,FALSE))</f>
        <v>3.4 Nutssector en industrie</v>
      </c>
      <c r="D115" t="str">
        <f>IF(VLOOKUP(Table30[[#This Row],[bal_nr]],Table2[#All],4,FALSE)=0,"",VLOOKUP(Table30[[#This Row],[bal_nr]],Table2[#All],4,FALSE))</f>
        <v>3.4.4 Metaalproductenindustrie</v>
      </c>
      <c r="E115" t="str">
        <f>IF(VLOOKUP(Table30[[#This Row],[bal_nr]],Table2[#All],5,FALSE)=0,"",VLOOKUP(Table30[[#This Row],[bal_nr]],Table2[#All],5,FALSE))</f>
        <v>3.4.4 f het maken van producten van metaal</v>
      </c>
      <c r="F115">
        <v>38</v>
      </c>
    </row>
    <row r="116" spans="1:6" x14ac:dyDescent="0.25">
      <c r="A116" s="1" t="s">
        <v>97</v>
      </c>
      <c r="B116" t="s">
        <v>521</v>
      </c>
      <c r="C116" t="str">
        <f>IF(VLOOKUP(Table30[[#This Row],[bal_nr]],Table2[#All],3,FALSE)=0,"",VLOOKUP(Table30[[#This Row],[bal_nr]],Table2[#All],3,FALSE))</f>
        <v>3.4 Nutssector en industrie</v>
      </c>
      <c r="D116" t="str">
        <f>IF(VLOOKUP(Table30[[#This Row],[bal_nr]],Table2[#All],4,FALSE)=0,"",VLOOKUP(Table30[[#This Row],[bal_nr]],Table2[#All],4,FALSE))</f>
        <v>3.4.4 Metaalproductenindustrie</v>
      </c>
      <c r="E116" t="str">
        <f>IF(VLOOKUP(Table30[[#This Row],[bal_nr]],Table2[#All],5,FALSE)=0,"",VLOOKUP(Table30[[#This Row],[bal_nr]],Table2[#All],5,FALSE))</f>
        <v>3.4.4 f het maken van producten van metaal</v>
      </c>
      <c r="F116">
        <v>38</v>
      </c>
    </row>
    <row r="117" spans="1:6" x14ac:dyDescent="0.25">
      <c r="A117" s="1" t="s">
        <v>98</v>
      </c>
      <c r="B117" t="s">
        <v>522</v>
      </c>
      <c r="C117" t="str">
        <f>IF(VLOOKUP(Table30[[#This Row],[bal_nr]],Table2[#All],3,FALSE)=0,"",VLOOKUP(Table30[[#This Row],[bal_nr]],Table2[#All],3,FALSE))</f>
        <v>3.4 Nutssector en industrie</v>
      </c>
      <c r="D117" t="str">
        <f>IF(VLOOKUP(Table30[[#This Row],[bal_nr]],Table2[#All],4,FALSE)=0,"",VLOOKUP(Table30[[#This Row],[bal_nr]],Table2[#All],4,FALSE))</f>
        <v>3.4.4 Metaalproductenindustrie</v>
      </c>
      <c r="E117" t="str">
        <f>IF(VLOOKUP(Table30[[#This Row],[bal_nr]],Table2[#All],5,FALSE)=0,"",VLOOKUP(Table30[[#This Row],[bal_nr]],Table2[#All],5,FALSE))</f>
        <v>3.4.4 f het maken van producten van metaal</v>
      </c>
      <c r="F117">
        <v>38</v>
      </c>
    </row>
    <row r="118" spans="1:6" x14ac:dyDescent="0.25">
      <c r="A118" s="1" t="s">
        <v>99</v>
      </c>
      <c r="B118" t="s">
        <v>523</v>
      </c>
      <c r="C118" t="str">
        <f>IF(VLOOKUP(Table30[[#This Row],[bal_nr]],Table2[#All],3,FALSE)=0,"",VLOOKUP(Table30[[#This Row],[bal_nr]],Table2[#All],3,FALSE))</f>
        <v>3.4 Nutssector en industrie</v>
      </c>
      <c r="D118" t="str">
        <f>IF(VLOOKUP(Table30[[#This Row],[bal_nr]],Table2[#All],4,FALSE)=0,"",VLOOKUP(Table30[[#This Row],[bal_nr]],Table2[#All],4,FALSE))</f>
        <v>3.4.4 Metaalproductenindustrie</v>
      </c>
      <c r="E118" t="str">
        <f>IF(VLOOKUP(Table30[[#This Row],[bal_nr]],Table2[#All],5,FALSE)=0,"",VLOOKUP(Table30[[#This Row],[bal_nr]],Table2[#All],5,FALSE))</f>
        <v>3.4.4 f het maken van producten van metaal</v>
      </c>
      <c r="F118">
        <v>38</v>
      </c>
    </row>
    <row r="119" spans="1:6" x14ac:dyDescent="0.25">
      <c r="A119" s="1" t="s">
        <v>100</v>
      </c>
      <c r="B119" t="s">
        <v>524</v>
      </c>
      <c r="C119" t="str">
        <f>IF(VLOOKUP(Table30[[#This Row],[bal_nr]],Table2[#All],3,FALSE)=0,"",VLOOKUP(Table30[[#This Row],[bal_nr]],Table2[#All],3,FALSE))</f>
        <v>3.4 Nutssector en industrie</v>
      </c>
      <c r="D119" t="str">
        <f>IF(VLOOKUP(Table30[[#This Row],[bal_nr]],Table2[#All],4,FALSE)=0,"",VLOOKUP(Table30[[#This Row],[bal_nr]],Table2[#All],4,FALSE))</f>
        <v>3.4.4 Metaalproductenindustrie</v>
      </c>
      <c r="E119" t="str">
        <f>IF(VLOOKUP(Table30[[#This Row],[bal_nr]],Table2[#All],5,FALSE)=0,"",VLOOKUP(Table30[[#This Row],[bal_nr]],Table2[#All],5,FALSE))</f>
        <v>3.4.4 f het maken van producten van metaal</v>
      </c>
      <c r="F119">
        <v>38</v>
      </c>
    </row>
    <row r="120" spans="1:6" x14ac:dyDescent="0.25">
      <c r="A120" s="1" t="s">
        <v>101</v>
      </c>
      <c r="B120" t="s">
        <v>525</v>
      </c>
      <c r="C120" t="str">
        <f>IF(VLOOKUP(Table30[[#This Row],[bal_nr]],Table2[#All],3,FALSE)=0,"",VLOOKUP(Table30[[#This Row],[bal_nr]],Table2[#All],3,FALSE))</f>
        <v>3.4 Nutssector en industrie</v>
      </c>
      <c r="D120" t="str">
        <f>IF(VLOOKUP(Table30[[#This Row],[bal_nr]],Table2[#All],4,FALSE)=0,"",VLOOKUP(Table30[[#This Row],[bal_nr]],Table2[#All],4,FALSE))</f>
        <v>3.4.4 Metaalproductenindustrie</v>
      </c>
      <c r="E120" t="str">
        <f>IF(VLOOKUP(Table30[[#This Row],[bal_nr]],Table2[#All],5,FALSE)=0,"",VLOOKUP(Table30[[#This Row],[bal_nr]],Table2[#All],5,FALSE))</f>
        <v>3.4.4 f het maken van producten van metaal</v>
      </c>
      <c r="F120">
        <v>38</v>
      </c>
    </row>
    <row r="121" spans="1:6" x14ac:dyDescent="0.25">
      <c r="A121" s="1" t="s">
        <v>102</v>
      </c>
      <c r="B121" t="s">
        <v>526</v>
      </c>
      <c r="C121" t="str">
        <f>IF(VLOOKUP(Table30[[#This Row],[bal_nr]],Table2[#All],3,FALSE)=0,"",VLOOKUP(Table30[[#This Row],[bal_nr]],Table2[#All],3,FALSE))</f>
        <v>3.4 Nutssector en industrie</v>
      </c>
      <c r="D121" t="str">
        <f>IF(VLOOKUP(Table30[[#This Row],[bal_nr]],Table2[#All],4,FALSE)=0,"",VLOOKUP(Table30[[#This Row],[bal_nr]],Table2[#All],4,FALSE))</f>
        <v>3.4.4 Metaalproductenindustrie</v>
      </c>
      <c r="E121" t="str">
        <f>IF(VLOOKUP(Table30[[#This Row],[bal_nr]],Table2[#All],5,FALSE)=0,"",VLOOKUP(Table30[[#This Row],[bal_nr]],Table2[#All],5,FALSE))</f>
        <v>3.4.4 f het maken van producten van metaal</v>
      </c>
      <c r="F121">
        <v>38</v>
      </c>
    </row>
    <row r="122" spans="1:6" x14ac:dyDescent="0.25">
      <c r="A122" s="1" t="s">
        <v>103</v>
      </c>
      <c r="B122" t="s">
        <v>527</v>
      </c>
      <c r="C122" t="str">
        <f>IF(VLOOKUP(Table30[[#This Row],[bal_nr]],Table2[#All],3,FALSE)=0,"",VLOOKUP(Table30[[#This Row],[bal_nr]],Table2[#All],3,FALSE))</f>
        <v>3.4 Nutssector en industrie</v>
      </c>
      <c r="D122" t="str">
        <f>IF(VLOOKUP(Table30[[#This Row],[bal_nr]],Table2[#All],4,FALSE)=0,"",VLOOKUP(Table30[[#This Row],[bal_nr]],Table2[#All],4,FALSE))</f>
        <v>3.4.4 Metaalproductenindustrie</v>
      </c>
      <c r="E122" t="str">
        <f>IF(VLOOKUP(Table30[[#This Row],[bal_nr]],Table2[#All],5,FALSE)=0,"",VLOOKUP(Table30[[#This Row],[bal_nr]],Table2[#All],5,FALSE))</f>
        <v>3.4.4 f het maken van producten van metaal</v>
      </c>
      <c r="F122">
        <v>38</v>
      </c>
    </row>
    <row r="123" spans="1:6" x14ac:dyDescent="0.25">
      <c r="A123" s="1" t="s">
        <v>104</v>
      </c>
      <c r="B123" t="s">
        <v>528</v>
      </c>
      <c r="C123" t="str">
        <f>IF(VLOOKUP(Table30[[#This Row],[bal_nr]],Table2[#All],3,FALSE)=0,"",VLOOKUP(Table30[[#This Row],[bal_nr]],Table2[#All],3,FALSE))</f>
        <v>3.4 Nutssector en industrie</v>
      </c>
      <c r="D123" t="str">
        <f>IF(VLOOKUP(Table30[[#This Row],[bal_nr]],Table2[#All],4,FALSE)=0,"",VLOOKUP(Table30[[#This Row],[bal_nr]],Table2[#All],4,FALSE))</f>
        <v>3.4.4 Metaalproductenindustrie</v>
      </c>
      <c r="E123" t="str">
        <f>IF(VLOOKUP(Table30[[#This Row],[bal_nr]],Table2[#All],5,FALSE)=0,"",VLOOKUP(Table30[[#This Row],[bal_nr]],Table2[#All],5,FALSE))</f>
        <v>3.4.4 f het maken van producten van metaal</v>
      </c>
      <c r="F123">
        <v>38</v>
      </c>
    </row>
    <row r="124" spans="1:6" x14ac:dyDescent="0.25">
      <c r="A124" s="1" t="s">
        <v>105</v>
      </c>
      <c r="B124" t="s">
        <v>529</v>
      </c>
      <c r="C124" t="str">
        <f>IF(VLOOKUP(Table30[[#This Row],[bal_nr]],Table2[#All],3,FALSE)=0,"",VLOOKUP(Table30[[#This Row],[bal_nr]],Table2[#All],3,FALSE))</f>
        <v>3.4 Nutssector en industrie</v>
      </c>
      <c r="D124" t="str">
        <f>IF(VLOOKUP(Table30[[#This Row],[bal_nr]],Table2[#All],4,FALSE)=0,"",VLOOKUP(Table30[[#This Row],[bal_nr]],Table2[#All],4,FALSE))</f>
        <v>3.4.4 Metaalproductenindustrie</v>
      </c>
      <c r="E124" t="str">
        <f>IF(VLOOKUP(Table30[[#This Row],[bal_nr]],Table2[#All],5,FALSE)=0,"",VLOOKUP(Table30[[#This Row],[bal_nr]],Table2[#All],5,FALSE))</f>
        <v>3.4.4 f het maken van producten van metaal</v>
      </c>
      <c r="F124">
        <v>38</v>
      </c>
    </row>
    <row r="125" spans="1:6" x14ac:dyDescent="0.25">
      <c r="A125" s="1" t="s">
        <v>106</v>
      </c>
      <c r="B125" t="s">
        <v>530</v>
      </c>
      <c r="C125" t="str">
        <f>IF(VLOOKUP(Table30[[#This Row],[bal_nr]],Table2[#All],3,FALSE)=0,"",VLOOKUP(Table30[[#This Row],[bal_nr]],Table2[#All],3,FALSE))</f>
        <v>3.4 Nutssector en industrie</v>
      </c>
      <c r="D125" t="str">
        <f>IF(VLOOKUP(Table30[[#This Row],[bal_nr]],Table2[#All],4,FALSE)=0,"",VLOOKUP(Table30[[#This Row],[bal_nr]],Table2[#All],4,FALSE))</f>
        <v>3.4.4 Metaalproductenindustrie</v>
      </c>
      <c r="E125" t="str">
        <f>IF(VLOOKUP(Table30[[#This Row],[bal_nr]],Table2[#All],5,FALSE)=0,"",VLOOKUP(Table30[[#This Row],[bal_nr]],Table2[#All],5,FALSE))</f>
        <v>3.4.4 f het maken van producten van metaal</v>
      </c>
      <c r="F125">
        <v>38</v>
      </c>
    </row>
    <row r="126" spans="1:6" x14ac:dyDescent="0.25">
      <c r="A126" s="1" t="s">
        <v>107</v>
      </c>
      <c r="B126" t="s">
        <v>531</v>
      </c>
      <c r="C126" t="str">
        <f>IF(VLOOKUP(Table30[[#This Row],[bal_nr]],Table2[#All],3,FALSE)=0,"",VLOOKUP(Table30[[#This Row],[bal_nr]],Table2[#All],3,FALSE))</f>
        <v>3.4 Nutssector en industrie</v>
      </c>
      <c r="D126" t="str">
        <f>IF(VLOOKUP(Table30[[#This Row],[bal_nr]],Table2[#All],4,FALSE)=0,"",VLOOKUP(Table30[[#This Row],[bal_nr]],Table2[#All],4,FALSE))</f>
        <v>3.4.4 Metaalproductenindustrie</v>
      </c>
      <c r="E126" t="str">
        <f>IF(VLOOKUP(Table30[[#This Row],[bal_nr]],Table2[#All],5,FALSE)=0,"",VLOOKUP(Table30[[#This Row],[bal_nr]],Table2[#All],5,FALSE))</f>
        <v>3.4.4 f het maken van producten van metaal</v>
      </c>
      <c r="F126">
        <v>38</v>
      </c>
    </row>
    <row r="127" spans="1:6" x14ac:dyDescent="0.25">
      <c r="A127" s="1" t="s">
        <v>108</v>
      </c>
      <c r="B127" t="s">
        <v>532</v>
      </c>
      <c r="C127" t="str">
        <f>IF(VLOOKUP(Table30[[#This Row],[bal_nr]],Table2[#All],3,FALSE)=0,"",VLOOKUP(Table30[[#This Row],[bal_nr]],Table2[#All],3,FALSE))</f>
        <v>3.4 Nutssector en industrie</v>
      </c>
      <c r="D127" t="str">
        <f>IF(VLOOKUP(Table30[[#This Row],[bal_nr]],Table2[#All],4,FALSE)=0,"",VLOOKUP(Table30[[#This Row],[bal_nr]],Table2[#All],4,FALSE))</f>
        <v>3.4.4 Metaalproductenindustrie</v>
      </c>
      <c r="E127" t="str">
        <f>IF(VLOOKUP(Table30[[#This Row],[bal_nr]],Table2[#All],5,FALSE)=0,"",VLOOKUP(Table30[[#This Row],[bal_nr]],Table2[#All],5,FALSE))</f>
        <v>3.4.4 f het maken van producten van metaal</v>
      </c>
      <c r="F127">
        <v>38</v>
      </c>
    </row>
    <row r="128" spans="1:6" x14ac:dyDescent="0.25">
      <c r="A128" s="1" t="s">
        <v>109</v>
      </c>
      <c r="B128" t="s">
        <v>533</v>
      </c>
      <c r="C128" t="str">
        <f>IF(VLOOKUP(Table30[[#This Row],[bal_nr]],Table2[#All],3,FALSE)=0,"",VLOOKUP(Table30[[#This Row],[bal_nr]],Table2[#All],3,FALSE))</f>
        <v>3.4 Nutssector en industrie</v>
      </c>
      <c r="D128" t="str">
        <f>IF(VLOOKUP(Table30[[#This Row],[bal_nr]],Table2[#All],4,FALSE)=0,"",VLOOKUP(Table30[[#This Row],[bal_nr]],Table2[#All],4,FALSE))</f>
        <v>3.4.4 Metaalproductenindustrie</v>
      </c>
      <c r="E128" t="str">
        <f>IF(VLOOKUP(Table30[[#This Row],[bal_nr]],Table2[#All],5,FALSE)=0,"",VLOOKUP(Table30[[#This Row],[bal_nr]],Table2[#All],5,FALSE))</f>
        <v>3.4.4 f het maken van producten van metaal</v>
      </c>
      <c r="F128">
        <v>38</v>
      </c>
    </row>
    <row r="129" spans="1:6" x14ac:dyDescent="0.25">
      <c r="A129" s="1" t="s">
        <v>110</v>
      </c>
      <c r="B129" t="s">
        <v>534</v>
      </c>
      <c r="C129" t="str">
        <f>IF(VLOOKUP(Table30[[#This Row],[bal_nr]],Table2[#All],3,FALSE)=0,"",VLOOKUP(Table30[[#This Row],[bal_nr]],Table2[#All],3,FALSE))</f>
        <v>3.4 Nutssector en industrie</v>
      </c>
      <c r="D129" t="str">
        <f>IF(VLOOKUP(Table30[[#This Row],[bal_nr]],Table2[#All],4,FALSE)=0,"",VLOOKUP(Table30[[#This Row],[bal_nr]],Table2[#All],4,FALSE))</f>
        <v>3.4.4 Metaalproductenindustrie</v>
      </c>
      <c r="E129" t="str">
        <f>IF(VLOOKUP(Table30[[#This Row],[bal_nr]],Table2[#All],5,FALSE)=0,"",VLOOKUP(Table30[[#This Row],[bal_nr]],Table2[#All],5,FALSE))</f>
        <v>3.4.4 f het maken van producten van metaal</v>
      </c>
      <c r="F129">
        <v>38</v>
      </c>
    </row>
    <row r="130" spans="1:6" x14ac:dyDescent="0.25">
      <c r="A130" s="1" t="s">
        <v>111</v>
      </c>
      <c r="B130" t="s">
        <v>535</v>
      </c>
      <c r="C130" t="str">
        <f>IF(VLOOKUP(Table30[[#This Row],[bal_nr]],Table2[#All],3,FALSE)=0,"",VLOOKUP(Table30[[#This Row],[bal_nr]],Table2[#All],3,FALSE))</f>
        <v>3.4 Nutssector en industrie</v>
      </c>
      <c r="D130" t="str">
        <f>IF(VLOOKUP(Table30[[#This Row],[bal_nr]],Table2[#All],4,FALSE)=0,"",VLOOKUP(Table30[[#This Row],[bal_nr]],Table2[#All],4,FALSE))</f>
        <v>3.4.4 Metaalproductenindustrie</v>
      </c>
      <c r="E130" t="str">
        <f>IF(VLOOKUP(Table30[[#This Row],[bal_nr]],Table2[#All],5,FALSE)=0,"",VLOOKUP(Table30[[#This Row],[bal_nr]],Table2[#All],5,FALSE))</f>
        <v>3.4.4 f het maken van producten van metaal</v>
      </c>
      <c r="F130">
        <v>38</v>
      </c>
    </row>
    <row r="131" spans="1:6" x14ac:dyDescent="0.25">
      <c r="A131" s="1" t="s">
        <v>112</v>
      </c>
      <c r="B131" t="s">
        <v>536</v>
      </c>
      <c r="C131" t="str">
        <f>IF(VLOOKUP(Table30[[#This Row],[bal_nr]],Table2[#All],3,FALSE)=0,"",VLOOKUP(Table30[[#This Row],[bal_nr]],Table2[#All],3,FALSE))</f>
        <v>3.4 Nutssector en industrie</v>
      </c>
      <c r="D131" t="str">
        <f>IF(VLOOKUP(Table30[[#This Row],[bal_nr]],Table2[#All],4,FALSE)=0,"",VLOOKUP(Table30[[#This Row],[bal_nr]],Table2[#All],4,FALSE))</f>
        <v>3.4.4 Metaalproductenindustrie</v>
      </c>
      <c r="E131" t="str">
        <f>IF(VLOOKUP(Table30[[#This Row],[bal_nr]],Table2[#All],5,FALSE)=0,"",VLOOKUP(Table30[[#This Row],[bal_nr]],Table2[#All],5,FALSE))</f>
        <v>3.4.4 f het maken van producten van metaal</v>
      </c>
      <c r="F131">
        <v>38</v>
      </c>
    </row>
    <row r="132" spans="1:6" x14ac:dyDescent="0.25">
      <c r="A132" s="1" t="s">
        <v>113</v>
      </c>
      <c r="B132" t="s">
        <v>537</v>
      </c>
      <c r="C132" t="str">
        <f>IF(VLOOKUP(Table30[[#This Row],[bal_nr]],Table2[#All],3,FALSE)=0,"",VLOOKUP(Table30[[#This Row],[bal_nr]],Table2[#All],3,FALSE))</f>
        <v>3.4 Nutssector en industrie</v>
      </c>
      <c r="D132" t="str">
        <f>IF(VLOOKUP(Table30[[#This Row],[bal_nr]],Table2[#All],4,FALSE)=0,"",VLOOKUP(Table30[[#This Row],[bal_nr]],Table2[#All],4,FALSE))</f>
        <v>3.4.4 Metaalproductenindustrie</v>
      </c>
      <c r="E132" t="str">
        <f>IF(VLOOKUP(Table30[[#This Row],[bal_nr]],Table2[#All],5,FALSE)=0,"",VLOOKUP(Table30[[#This Row],[bal_nr]],Table2[#All],5,FALSE))</f>
        <v>3.4.4 f het maken van producten van metaal</v>
      </c>
      <c r="F132">
        <v>38</v>
      </c>
    </row>
    <row r="133" spans="1:6" x14ac:dyDescent="0.25">
      <c r="A133" s="1" t="s">
        <v>114</v>
      </c>
      <c r="B133" t="s">
        <v>538</v>
      </c>
      <c r="C133" t="str">
        <f>IF(VLOOKUP(Table30[[#This Row],[bal_nr]],Table2[#All],3,FALSE)=0,"",VLOOKUP(Table30[[#This Row],[bal_nr]],Table2[#All],3,FALSE))</f>
        <v>3.4 Nutssector en industrie</v>
      </c>
      <c r="D133" t="str">
        <f>IF(VLOOKUP(Table30[[#This Row],[bal_nr]],Table2[#All],4,FALSE)=0,"",VLOOKUP(Table30[[#This Row],[bal_nr]],Table2[#All],4,FALSE))</f>
        <v>3.4.4 Metaalproductenindustrie</v>
      </c>
      <c r="E133" t="str">
        <f>IF(VLOOKUP(Table30[[#This Row],[bal_nr]],Table2[#All],5,FALSE)=0,"",VLOOKUP(Table30[[#This Row],[bal_nr]],Table2[#All],5,FALSE))</f>
        <v>3.4.4 f het maken van producten van metaal</v>
      </c>
      <c r="F133">
        <v>38</v>
      </c>
    </row>
    <row r="134" spans="1:6" x14ac:dyDescent="0.25">
      <c r="A134" s="1" t="s">
        <v>115</v>
      </c>
      <c r="B134" t="s">
        <v>539</v>
      </c>
      <c r="C134" t="str">
        <f>IF(VLOOKUP(Table30[[#This Row],[bal_nr]],Table2[#All],3,FALSE)=0,"",VLOOKUP(Table30[[#This Row],[bal_nr]],Table2[#All],3,FALSE))</f>
        <v>3.4 Nutssector en industrie</v>
      </c>
      <c r="D134" t="str">
        <f>IF(VLOOKUP(Table30[[#This Row],[bal_nr]],Table2[#All],4,FALSE)=0,"",VLOOKUP(Table30[[#This Row],[bal_nr]],Table2[#All],4,FALSE))</f>
        <v>3.4.4 Metaalproductenindustrie</v>
      </c>
      <c r="E134" t="str">
        <f>IF(VLOOKUP(Table30[[#This Row],[bal_nr]],Table2[#All],5,FALSE)=0,"",VLOOKUP(Table30[[#This Row],[bal_nr]],Table2[#All],5,FALSE))</f>
        <v>3.4.4 f het maken van producten van metaal</v>
      </c>
      <c r="F134">
        <v>38</v>
      </c>
    </row>
    <row r="135" spans="1:6" x14ac:dyDescent="0.25">
      <c r="A135" s="1" t="s">
        <v>116</v>
      </c>
      <c r="B135" t="s">
        <v>540</v>
      </c>
      <c r="C135" t="str">
        <f>IF(VLOOKUP(Table30[[#This Row],[bal_nr]],Table2[#All],3,FALSE)=0,"",VLOOKUP(Table30[[#This Row],[bal_nr]],Table2[#All],3,FALSE))</f>
        <v>3.4 Nutssector en industrie</v>
      </c>
      <c r="D135" t="str">
        <f>IF(VLOOKUP(Table30[[#This Row],[bal_nr]],Table2[#All],4,FALSE)=0,"",VLOOKUP(Table30[[#This Row],[bal_nr]],Table2[#All],4,FALSE))</f>
        <v>3.4.4 Metaalproductenindustrie</v>
      </c>
      <c r="E135" t="str">
        <f>IF(VLOOKUP(Table30[[#This Row],[bal_nr]],Table2[#All],5,FALSE)=0,"",VLOOKUP(Table30[[#This Row],[bal_nr]],Table2[#All],5,FALSE))</f>
        <v>3.4.4 f het maken van producten van metaal</v>
      </c>
      <c r="F135">
        <v>38</v>
      </c>
    </row>
    <row r="136" spans="1:6" x14ac:dyDescent="0.25">
      <c r="A136" s="1" t="s">
        <v>117</v>
      </c>
      <c r="B136" t="s">
        <v>541</v>
      </c>
      <c r="C136" t="str">
        <f>IF(VLOOKUP(Table30[[#This Row],[bal_nr]],Table2[#All],3,FALSE)=0,"",VLOOKUP(Table30[[#This Row],[bal_nr]],Table2[#All],3,FALSE))</f>
        <v>3.4 Nutssector en industrie</v>
      </c>
      <c r="D136" t="str">
        <f>IF(VLOOKUP(Table30[[#This Row],[bal_nr]],Table2[#All],4,FALSE)=0,"",VLOOKUP(Table30[[#This Row],[bal_nr]],Table2[#All],4,FALSE))</f>
        <v>3.4.4 Metaalproductenindustrie</v>
      </c>
      <c r="E136" t="str">
        <f>IF(VLOOKUP(Table30[[#This Row],[bal_nr]],Table2[#All],5,FALSE)=0,"",VLOOKUP(Table30[[#This Row],[bal_nr]],Table2[#All],5,FALSE))</f>
        <v>3.4.4 f het maken van producten van metaal</v>
      </c>
      <c r="F136">
        <v>38</v>
      </c>
    </row>
    <row r="137" spans="1:6" x14ac:dyDescent="0.25">
      <c r="A137" s="1" t="s">
        <v>118</v>
      </c>
      <c r="B137" t="s">
        <v>542</v>
      </c>
      <c r="C137" t="str">
        <f>IF(VLOOKUP(Table30[[#This Row],[bal_nr]],Table2[#All],3,FALSE)=0,"",VLOOKUP(Table30[[#This Row],[bal_nr]],Table2[#All],3,FALSE))</f>
        <v>3.4 Nutssector en industrie</v>
      </c>
      <c r="D137" t="str">
        <f>IF(VLOOKUP(Table30[[#This Row],[bal_nr]],Table2[#All],4,FALSE)=0,"",VLOOKUP(Table30[[#This Row],[bal_nr]],Table2[#All],4,FALSE))</f>
        <v>3.4.4 Metaalproductenindustrie</v>
      </c>
      <c r="E137" t="str">
        <f>IF(VLOOKUP(Table30[[#This Row],[bal_nr]],Table2[#All],5,FALSE)=0,"",VLOOKUP(Table30[[#This Row],[bal_nr]],Table2[#All],5,FALSE))</f>
        <v>3.4.4 f het maken van producten van metaal</v>
      </c>
      <c r="F137">
        <v>38</v>
      </c>
    </row>
    <row r="138" spans="1:6" x14ac:dyDescent="0.25">
      <c r="A138" s="1" t="s">
        <v>119</v>
      </c>
      <c r="B138" t="s">
        <v>543</v>
      </c>
      <c r="C138" t="str">
        <f>IF(VLOOKUP(Table30[[#This Row],[bal_nr]],Table2[#All],3,FALSE)=0,"",VLOOKUP(Table30[[#This Row],[bal_nr]],Table2[#All],3,FALSE))</f>
        <v>3.4 Nutssector en industrie</v>
      </c>
      <c r="D138" t="str">
        <f>IF(VLOOKUP(Table30[[#This Row],[bal_nr]],Table2[#All],4,FALSE)=0,"",VLOOKUP(Table30[[#This Row],[bal_nr]],Table2[#All],4,FALSE))</f>
        <v>3.4.4 Metaalproductenindustrie</v>
      </c>
      <c r="E138" t="str">
        <f>IF(VLOOKUP(Table30[[#This Row],[bal_nr]],Table2[#All],5,FALSE)=0,"",VLOOKUP(Table30[[#This Row],[bal_nr]],Table2[#All],5,FALSE))</f>
        <v>3.4.4 f het maken van producten van metaal</v>
      </c>
      <c r="F138">
        <v>38</v>
      </c>
    </row>
    <row r="139" spans="1:6" x14ac:dyDescent="0.25">
      <c r="A139" s="1" t="s">
        <v>120</v>
      </c>
      <c r="B139" t="s">
        <v>544</v>
      </c>
      <c r="C139" t="str">
        <f>IF(VLOOKUP(Table30[[#This Row],[bal_nr]],Table2[#All],3,FALSE)=0,"",VLOOKUP(Table30[[#This Row],[bal_nr]],Table2[#All],3,FALSE))</f>
        <v>3.4 Nutssector en industrie</v>
      </c>
      <c r="D139" t="str">
        <f>IF(VLOOKUP(Table30[[#This Row],[bal_nr]],Table2[#All],4,FALSE)=0,"",VLOOKUP(Table30[[#This Row],[bal_nr]],Table2[#All],4,FALSE))</f>
        <v>3.4.4 Metaalproductenindustrie</v>
      </c>
      <c r="E139" t="str">
        <f>IF(VLOOKUP(Table30[[#This Row],[bal_nr]],Table2[#All],5,FALSE)=0,"",VLOOKUP(Table30[[#This Row],[bal_nr]],Table2[#All],5,FALSE))</f>
        <v>3.4.4 f het maken van producten van metaal</v>
      </c>
      <c r="F139">
        <v>38</v>
      </c>
    </row>
    <row r="140" spans="1:6" x14ac:dyDescent="0.25">
      <c r="A140" s="1" t="s">
        <v>121</v>
      </c>
      <c r="B140" t="s">
        <v>545</v>
      </c>
      <c r="C140" t="str">
        <f>IF(VLOOKUP(Table30[[#This Row],[bal_nr]],Table2[#All],3,FALSE)=0,"",VLOOKUP(Table30[[#This Row],[bal_nr]],Table2[#All],3,FALSE))</f>
        <v>3.4 Nutssector en industrie</v>
      </c>
      <c r="D140" t="str">
        <f>IF(VLOOKUP(Table30[[#This Row],[bal_nr]],Table2[#All],4,FALSE)=0,"",VLOOKUP(Table30[[#This Row],[bal_nr]],Table2[#All],4,FALSE))</f>
        <v>3.4.4 Metaalproductenindustrie</v>
      </c>
      <c r="E140" t="str">
        <f>IF(VLOOKUP(Table30[[#This Row],[bal_nr]],Table2[#All],5,FALSE)=0,"",VLOOKUP(Table30[[#This Row],[bal_nr]],Table2[#All],5,FALSE))</f>
        <v>3.4.4 f het maken van producten van metaal</v>
      </c>
      <c r="F140">
        <v>38</v>
      </c>
    </row>
    <row r="141" spans="1:6" x14ac:dyDescent="0.25">
      <c r="A141" s="1" t="s">
        <v>122</v>
      </c>
      <c r="B141" t="s">
        <v>546</v>
      </c>
      <c r="C141" t="str">
        <f>IF(VLOOKUP(Table30[[#This Row],[bal_nr]],Table2[#All],3,FALSE)=0,"",VLOOKUP(Table30[[#This Row],[bal_nr]],Table2[#All],3,FALSE))</f>
        <v>3.4 Nutssector en industrie</v>
      </c>
      <c r="D141" t="str">
        <f>IF(VLOOKUP(Table30[[#This Row],[bal_nr]],Table2[#All],4,FALSE)=0,"",VLOOKUP(Table30[[#This Row],[bal_nr]],Table2[#All],4,FALSE))</f>
        <v>3.4.4 Metaalproductenindustrie</v>
      </c>
      <c r="E141" t="str">
        <f>IF(VLOOKUP(Table30[[#This Row],[bal_nr]],Table2[#All],5,FALSE)=0,"",VLOOKUP(Table30[[#This Row],[bal_nr]],Table2[#All],5,FALSE))</f>
        <v>3.4.4 f het maken van producten van metaal</v>
      </c>
      <c r="F141">
        <v>38</v>
      </c>
    </row>
    <row r="142" spans="1:6" x14ac:dyDescent="0.25">
      <c r="A142" s="1" t="s">
        <v>123</v>
      </c>
      <c r="B142" t="s">
        <v>547</v>
      </c>
      <c r="C142" t="str">
        <f>IF(VLOOKUP(Table30[[#This Row],[bal_nr]],Table2[#All],3,FALSE)=0,"",VLOOKUP(Table30[[#This Row],[bal_nr]],Table2[#All],3,FALSE))</f>
        <v>3.4 Nutssector en industrie</v>
      </c>
      <c r="D142" t="str">
        <f>IF(VLOOKUP(Table30[[#This Row],[bal_nr]],Table2[#All],4,FALSE)=0,"",VLOOKUP(Table30[[#This Row],[bal_nr]],Table2[#All],4,FALSE))</f>
        <v>3.4.4 Metaalproductenindustrie</v>
      </c>
      <c r="E142" t="str">
        <f>IF(VLOOKUP(Table30[[#This Row],[bal_nr]],Table2[#All],5,FALSE)=0,"",VLOOKUP(Table30[[#This Row],[bal_nr]],Table2[#All],5,FALSE))</f>
        <v>3.4.4 f het maken van producten van metaal</v>
      </c>
      <c r="F142">
        <v>38</v>
      </c>
    </row>
    <row r="143" spans="1:6" x14ac:dyDescent="0.25">
      <c r="A143" s="1" t="s">
        <v>124</v>
      </c>
      <c r="B143" t="s">
        <v>548</v>
      </c>
      <c r="C143" t="str">
        <f>IF(VLOOKUP(Table30[[#This Row],[bal_nr]],Table2[#All],3,FALSE)=0,"",VLOOKUP(Table30[[#This Row],[bal_nr]],Table2[#All],3,FALSE))</f>
        <v>3.4 Nutssector en industrie</v>
      </c>
      <c r="D143" t="str">
        <f>IF(VLOOKUP(Table30[[#This Row],[bal_nr]],Table2[#All],4,FALSE)=0,"",VLOOKUP(Table30[[#This Row],[bal_nr]],Table2[#All],4,FALSE))</f>
        <v>3.4.4 Metaalproductenindustrie</v>
      </c>
      <c r="E143" t="str">
        <f>IF(VLOOKUP(Table30[[#This Row],[bal_nr]],Table2[#All],5,FALSE)=0,"",VLOOKUP(Table30[[#This Row],[bal_nr]],Table2[#All],5,FALSE))</f>
        <v>3.4.4 f het maken van producten van metaal</v>
      </c>
      <c r="F143">
        <v>38</v>
      </c>
    </row>
    <row r="144" spans="1:6" x14ac:dyDescent="0.25">
      <c r="A144" s="1" t="s">
        <v>126</v>
      </c>
      <c r="B144" t="s">
        <v>549</v>
      </c>
      <c r="C144" t="str">
        <f>IF(VLOOKUP(Table30[[#This Row],[bal_nr]],Table2[#All],3,FALSE)=0,"",VLOOKUP(Table30[[#This Row],[bal_nr]],Table2[#All],3,FALSE))</f>
        <v>3.4 Nutssector en industrie</v>
      </c>
      <c r="D144" t="str">
        <f>IF(VLOOKUP(Table30[[#This Row],[bal_nr]],Table2[#All],4,FALSE)=0,"",VLOOKUP(Table30[[#This Row],[bal_nr]],Table2[#All],4,FALSE))</f>
        <v>3.4.4 Metaalproductenindustrie</v>
      </c>
      <c r="E144" t="str">
        <f>IF(VLOOKUP(Table30[[#This Row],[bal_nr]],Table2[#All],5,FALSE)=0,"",VLOOKUP(Table30[[#This Row],[bal_nr]],Table2[#All],5,FALSE))</f>
        <v>3.4.4 f het maken van producten van metaal</v>
      </c>
      <c r="F144">
        <v>38</v>
      </c>
    </row>
    <row r="145" spans="1:6" x14ac:dyDescent="0.25">
      <c r="A145" s="1" t="s">
        <v>127</v>
      </c>
      <c r="B145" t="s">
        <v>550</v>
      </c>
      <c r="C145" t="str">
        <f>IF(VLOOKUP(Table30[[#This Row],[bal_nr]],Table2[#All],3,FALSE)=0,"",VLOOKUP(Table30[[#This Row],[bal_nr]],Table2[#All],3,FALSE))</f>
        <v>3.4 Nutssector en industrie</v>
      </c>
      <c r="D145" t="str">
        <f>IF(VLOOKUP(Table30[[#This Row],[bal_nr]],Table2[#All],4,FALSE)=0,"",VLOOKUP(Table30[[#This Row],[bal_nr]],Table2[#All],4,FALSE))</f>
        <v>3.4.4 Metaalproductenindustrie</v>
      </c>
      <c r="E145" t="str">
        <f>IF(VLOOKUP(Table30[[#This Row],[bal_nr]],Table2[#All],5,FALSE)=0,"",VLOOKUP(Table30[[#This Row],[bal_nr]],Table2[#All],5,FALSE))</f>
        <v>3.4.4 f het maken van producten van metaal</v>
      </c>
      <c r="F145">
        <v>38</v>
      </c>
    </row>
    <row r="146" spans="1:6" x14ac:dyDescent="0.25">
      <c r="A146" s="1" t="s">
        <v>128</v>
      </c>
      <c r="B146" t="s">
        <v>551</v>
      </c>
      <c r="C146" t="str">
        <f>IF(VLOOKUP(Table30[[#This Row],[bal_nr]],Table2[#All],3,FALSE)=0,"",VLOOKUP(Table30[[#This Row],[bal_nr]],Table2[#All],3,FALSE))</f>
        <v>3.4 Nutssector en industrie</v>
      </c>
      <c r="D146" t="str">
        <f>IF(VLOOKUP(Table30[[#This Row],[bal_nr]],Table2[#All],4,FALSE)=0,"",VLOOKUP(Table30[[#This Row],[bal_nr]],Table2[#All],4,FALSE))</f>
        <v>3.4.4 Metaalproductenindustrie</v>
      </c>
      <c r="E146" t="str">
        <f>IF(VLOOKUP(Table30[[#This Row],[bal_nr]],Table2[#All],5,FALSE)=0,"",VLOOKUP(Table30[[#This Row],[bal_nr]],Table2[#All],5,FALSE))</f>
        <v>3.4.4 f het maken van producten van metaal</v>
      </c>
      <c r="F146">
        <v>38</v>
      </c>
    </row>
    <row r="147" spans="1:6" x14ac:dyDescent="0.25">
      <c r="A147" s="1" t="s">
        <v>129</v>
      </c>
      <c r="B147" t="s">
        <v>552</v>
      </c>
      <c r="C147" t="str">
        <f>IF(VLOOKUP(Table30[[#This Row],[bal_nr]],Table2[#All],3,FALSE)=0,"",VLOOKUP(Table30[[#This Row],[bal_nr]],Table2[#All],3,FALSE))</f>
        <v>3.4 Nutssector en industrie</v>
      </c>
      <c r="D147" t="str">
        <f>IF(VLOOKUP(Table30[[#This Row],[bal_nr]],Table2[#All],4,FALSE)=0,"",VLOOKUP(Table30[[#This Row],[bal_nr]],Table2[#All],4,FALSE))</f>
        <v>3.4.4 Metaalproductenindustrie</v>
      </c>
      <c r="E147" t="str">
        <f>IF(VLOOKUP(Table30[[#This Row],[bal_nr]],Table2[#All],5,FALSE)=0,"",VLOOKUP(Table30[[#This Row],[bal_nr]],Table2[#All],5,FALSE))</f>
        <v>3.4.4 f het maken van producten van metaal</v>
      </c>
      <c r="F147">
        <v>38</v>
      </c>
    </row>
    <row r="148" spans="1:6" x14ac:dyDescent="0.25">
      <c r="A148" s="1" t="s">
        <v>130</v>
      </c>
      <c r="B148" t="s">
        <v>553</v>
      </c>
      <c r="C148" t="str">
        <f>IF(VLOOKUP(Table30[[#This Row],[bal_nr]],Table2[#All],3,FALSE)=0,"",VLOOKUP(Table30[[#This Row],[bal_nr]],Table2[#All],3,FALSE))</f>
        <v>3.4 Nutssector en industrie</v>
      </c>
      <c r="D148" t="str">
        <f>IF(VLOOKUP(Table30[[#This Row],[bal_nr]],Table2[#All],4,FALSE)=0,"",VLOOKUP(Table30[[#This Row],[bal_nr]],Table2[#All],4,FALSE))</f>
        <v>3.4.4 Metaalproductenindustrie</v>
      </c>
      <c r="E148" t="str">
        <f>IF(VLOOKUP(Table30[[#This Row],[bal_nr]],Table2[#All],5,FALSE)=0,"",VLOOKUP(Table30[[#This Row],[bal_nr]],Table2[#All],5,FALSE))</f>
        <v>3.4.4 f het maken van producten van metaal</v>
      </c>
      <c r="F148">
        <v>38</v>
      </c>
    </row>
    <row r="149" spans="1:6" x14ac:dyDescent="0.25">
      <c r="A149" s="1" t="s">
        <v>131</v>
      </c>
      <c r="B149" t="s">
        <v>554</v>
      </c>
      <c r="C149" t="str">
        <f>IF(VLOOKUP(Table30[[#This Row],[bal_nr]],Table2[#All],3,FALSE)=0,"",VLOOKUP(Table30[[#This Row],[bal_nr]],Table2[#All],3,FALSE))</f>
        <v>3.4 Nutssector en industrie</v>
      </c>
      <c r="D149" t="str">
        <f>IF(VLOOKUP(Table30[[#This Row],[bal_nr]],Table2[#All],4,FALSE)=0,"",VLOOKUP(Table30[[#This Row],[bal_nr]],Table2[#All],4,FALSE))</f>
        <v>3.4.4 Metaalproductenindustrie</v>
      </c>
      <c r="E149" t="str">
        <f>IF(VLOOKUP(Table30[[#This Row],[bal_nr]],Table2[#All],5,FALSE)=0,"",VLOOKUP(Table30[[#This Row],[bal_nr]],Table2[#All],5,FALSE))</f>
        <v>3.4.4 f het maken van producten van metaal</v>
      </c>
      <c r="F149">
        <v>38</v>
      </c>
    </row>
    <row r="150" spans="1:6" x14ac:dyDescent="0.25">
      <c r="A150" s="1" t="s">
        <v>132</v>
      </c>
      <c r="B150" t="s">
        <v>555</v>
      </c>
      <c r="C150" t="str">
        <f>IF(VLOOKUP(Table30[[#This Row],[bal_nr]],Table2[#All],3,FALSE)=0,"",VLOOKUP(Table30[[#This Row],[bal_nr]],Table2[#All],3,FALSE))</f>
        <v>3.4 Nutssector en industrie</v>
      </c>
      <c r="D150" t="str">
        <f>IF(VLOOKUP(Table30[[#This Row],[bal_nr]],Table2[#All],4,FALSE)=0,"",VLOOKUP(Table30[[#This Row],[bal_nr]],Table2[#All],4,FALSE))</f>
        <v>3.4.4 Metaalproductenindustrie</v>
      </c>
      <c r="E150" t="str">
        <f>IF(VLOOKUP(Table30[[#This Row],[bal_nr]],Table2[#All],5,FALSE)=0,"",VLOOKUP(Table30[[#This Row],[bal_nr]],Table2[#All],5,FALSE))</f>
        <v>3.4.4 f het maken van producten van metaal</v>
      </c>
      <c r="F150">
        <v>38</v>
      </c>
    </row>
    <row r="151" spans="1:6" x14ac:dyDescent="0.25">
      <c r="A151" s="1" t="s">
        <v>135</v>
      </c>
      <c r="B151" t="s">
        <v>557</v>
      </c>
      <c r="C151" t="str">
        <f>IF(VLOOKUP(Table30[[#This Row],[bal_nr]],Table2[#All],3,FALSE)=0,"",VLOOKUP(Table30[[#This Row],[bal_nr]],Table2[#All],3,FALSE))</f>
        <v>3.4 Nutssector en industrie</v>
      </c>
      <c r="D151" t="str">
        <f>IF(VLOOKUP(Table30[[#This Row],[bal_nr]],Table2[#All],4,FALSE)=0,"",VLOOKUP(Table30[[#This Row],[bal_nr]],Table2[#All],4,FALSE))</f>
        <v>3.4.4 Metaalproductenindustrie</v>
      </c>
      <c r="E151" t="str">
        <f>IF(VLOOKUP(Table30[[#This Row],[bal_nr]],Table2[#All],5,FALSE)=0,"",VLOOKUP(Table30[[#This Row],[bal_nr]],Table2[#All],5,FALSE))</f>
        <v>3.4.4 f het maken van producten van metaal</v>
      </c>
      <c r="F151">
        <v>38</v>
      </c>
    </row>
    <row r="152" spans="1:6" x14ac:dyDescent="0.25">
      <c r="A152" s="1" t="s">
        <v>139</v>
      </c>
      <c r="B152" t="s">
        <v>560</v>
      </c>
      <c r="C152" t="str">
        <f>IF(VLOOKUP(Table30[[#This Row],[bal_nr]],Table2[#All],3,FALSE)=0,"",VLOOKUP(Table30[[#This Row],[bal_nr]],Table2[#All],3,FALSE))</f>
        <v>3.4 Nutssector en industrie</v>
      </c>
      <c r="D152" t="str">
        <f>IF(VLOOKUP(Table30[[#This Row],[bal_nr]],Table2[#All],4,FALSE)=0,"",VLOOKUP(Table30[[#This Row],[bal_nr]],Table2[#All],4,FALSE))</f>
        <v>3.4.4 Metaalproductenindustrie</v>
      </c>
      <c r="E152" t="str">
        <f>IF(VLOOKUP(Table30[[#This Row],[bal_nr]],Table2[#All],5,FALSE)=0,"",VLOOKUP(Table30[[#This Row],[bal_nr]],Table2[#All],5,FALSE))</f>
        <v>3.4.4 f het maken van producten van metaal</v>
      </c>
      <c r="F152">
        <v>38</v>
      </c>
    </row>
    <row r="153" spans="1:6" x14ac:dyDescent="0.25">
      <c r="A153" s="1" t="s">
        <v>140</v>
      </c>
      <c r="B153" t="s">
        <v>561</v>
      </c>
      <c r="C153" t="str">
        <f>IF(VLOOKUP(Table30[[#This Row],[bal_nr]],Table2[#All],3,FALSE)=0,"",VLOOKUP(Table30[[#This Row],[bal_nr]],Table2[#All],3,FALSE))</f>
        <v>3.4 Nutssector en industrie</v>
      </c>
      <c r="D153" t="str">
        <f>IF(VLOOKUP(Table30[[#This Row],[bal_nr]],Table2[#All],4,FALSE)=0,"",VLOOKUP(Table30[[#This Row],[bal_nr]],Table2[#All],4,FALSE))</f>
        <v>3.4.4 Metaalproductenindustrie</v>
      </c>
      <c r="E153" t="str">
        <f>IF(VLOOKUP(Table30[[#This Row],[bal_nr]],Table2[#All],5,FALSE)=0,"",VLOOKUP(Table30[[#This Row],[bal_nr]],Table2[#All],5,FALSE))</f>
        <v>3.4.4 f het maken van producten van metaal</v>
      </c>
      <c r="F153">
        <v>38</v>
      </c>
    </row>
    <row r="154" spans="1:6" x14ac:dyDescent="0.25">
      <c r="A154" s="1" t="s">
        <v>141</v>
      </c>
      <c r="B154" t="s">
        <v>562</v>
      </c>
      <c r="C154" t="str">
        <f>IF(VLOOKUP(Table30[[#This Row],[bal_nr]],Table2[#All],3,FALSE)=0,"",VLOOKUP(Table30[[#This Row],[bal_nr]],Table2[#All],3,FALSE))</f>
        <v>3.4 Nutssector en industrie</v>
      </c>
      <c r="D154" t="str">
        <f>IF(VLOOKUP(Table30[[#This Row],[bal_nr]],Table2[#All],4,FALSE)=0,"",VLOOKUP(Table30[[#This Row],[bal_nr]],Table2[#All],4,FALSE))</f>
        <v>3.4.4 Metaalproductenindustrie</v>
      </c>
      <c r="E154" t="str">
        <f>IF(VLOOKUP(Table30[[#This Row],[bal_nr]],Table2[#All],5,FALSE)=0,"",VLOOKUP(Table30[[#This Row],[bal_nr]],Table2[#All],5,FALSE))</f>
        <v>3.4.4 f het maken van producten van metaal</v>
      </c>
      <c r="F154">
        <v>38</v>
      </c>
    </row>
    <row r="155" spans="1:6" x14ac:dyDescent="0.25">
      <c r="A155" s="1" t="s">
        <v>142</v>
      </c>
      <c r="B155" t="s">
        <v>563</v>
      </c>
      <c r="C155" t="str">
        <f>IF(VLOOKUP(Table30[[#This Row],[bal_nr]],Table2[#All],3,FALSE)=0,"",VLOOKUP(Table30[[#This Row],[bal_nr]],Table2[#All],3,FALSE))</f>
        <v>3.4 Nutssector en industrie</v>
      </c>
      <c r="D155" t="str">
        <f>IF(VLOOKUP(Table30[[#This Row],[bal_nr]],Table2[#All],4,FALSE)=0,"",VLOOKUP(Table30[[#This Row],[bal_nr]],Table2[#All],4,FALSE))</f>
        <v>3.4.4 Metaalproductenindustrie</v>
      </c>
      <c r="E155" t="str">
        <f>IF(VLOOKUP(Table30[[#This Row],[bal_nr]],Table2[#All],5,FALSE)=0,"",VLOOKUP(Table30[[#This Row],[bal_nr]],Table2[#All],5,FALSE))</f>
        <v>3.4.4 f het maken van producten van metaal</v>
      </c>
      <c r="F155">
        <v>38</v>
      </c>
    </row>
    <row r="156" spans="1:6" x14ac:dyDescent="0.25">
      <c r="A156" s="1" t="s">
        <v>63</v>
      </c>
      <c r="B156" t="s">
        <v>487</v>
      </c>
      <c r="C156" t="str">
        <f>IF(VLOOKUP(Table30[[#This Row],[bal_nr]],Table2[#All],3,FALSE)=0,"",VLOOKUP(Table30[[#This Row],[bal_nr]],Table2[#All],3,FALSE))</f>
        <v>3.4 Nutssector en industrie</v>
      </c>
      <c r="D156" t="str">
        <f>IF(VLOOKUP(Table30[[#This Row],[bal_nr]],Table2[#All],4,FALSE)=0,"",VLOOKUP(Table30[[#This Row],[bal_nr]],Table2[#All],4,FALSE))</f>
        <v>3.4.4 Metaalproductenindustrie</v>
      </c>
      <c r="E156" t="str">
        <f>IF(VLOOKUP(Table30[[#This Row],[bal_nr]],Table2[#All],5,FALSE)=0,"",VLOOKUP(Table30[[#This Row],[bal_nr]],Table2[#All],5,FALSE))</f>
        <v/>
      </c>
      <c r="F156">
        <v>33</v>
      </c>
    </row>
    <row r="157" spans="1:6" x14ac:dyDescent="0.25">
      <c r="A157" s="1" t="s">
        <v>80</v>
      </c>
      <c r="B157" t="s">
        <v>504</v>
      </c>
      <c r="C157" t="str">
        <f>IF(VLOOKUP(Table30[[#This Row],[bal_nr]],Table2[#All],3,FALSE)=0,"",VLOOKUP(Table30[[#This Row],[bal_nr]],Table2[#All],3,FALSE))</f>
        <v>3.4 Nutssector en industrie</v>
      </c>
      <c r="D157" t="str">
        <f>IF(VLOOKUP(Table30[[#This Row],[bal_nr]],Table2[#All],4,FALSE)=0,"",VLOOKUP(Table30[[#This Row],[bal_nr]],Table2[#All],4,FALSE))</f>
        <v>3.4.4 Metaalproductenindustrie</v>
      </c>
      <c r="E157" t="str">
        <f>IF(VLOOKUP(Table30[[#This Row],[bal_nr]],Table2[#All],5,FALSE)=0,"",VLOOKUP(Table30[[#This Row],[bal_nr]],Table2[#All],5,FALSE))</f>
        <v/>
      </c>
      <c r="F157">
        <v>33</v>
      </c>
    </row>
    <row r="158" spans="1:6" x14ac:dyDescent="0.25">
      <c r="A158" s="1" t="s">
        <v>81</v>
      </c>
      <c r="B158" t="s">
        <v>505</v>
      </c>
      <c r="C158" t="str">
        <f>IF(VLOOKUP(Table30[[#This Row],[bal_nr]],Table2[#All],3,FALSE)=0,"",VLOOKUP(Table30[[#This Row],[bal_nr]],Table2[#All],3,FALSE))</f>
        <v>3.4 Nutssector en industrie</v>
      </c>
      <c r="D158" t="str">
        <f>IF(VLOOKUP(Table30[[#This Row],[bal_nr]],Table2[#All],4,FALSE)=0,"",VLOOKUP(Table30[[#This Row],[bal_nr]],Table2[#All],4,FALSE))</f>
        <v>3.4.4 Metaalproductenindustrie</v>
      </c>
      <c r="E158" t="str">
        <f>IF(VLOOKUP(Table30[[#This Row],[bal_nr]],Table2[#All],5,FALSE)=0,"",VLOOKUP(Table30[[#This Row],[bal_nr]],Table2[#All],5,FALSE))</f>
        <v/>
      </c>
      <c r="F158">
        <v>33</v>
      </c>
    </row>
    <row r="159" spans="1:6" x14ac:dyDescent="0.25">
      <c r="A159" s="1" t="s">
        <v>82</v>
      </c>
      <c r="B159" t="s">
        <v>506</v>
      </c>
      <c r="C159" t="str">
        <f>IF(VLOOKUP(Table30[[#This Row],[bal_nr]],Table2[#All],3,FALSE)=0,"",VLOOKUP(Table30[[#This Row],[bal_nr]],Table2[#All],3,FALSE))</f>
        <v>3.4 Nutssector en industrie</v>
      </c>
      <c r="D159" t="str">
        <f>IF(VLOOKUP(Table30[[#This Row],[bal_nr]],Table2[#All],4,FALSE)=0,"",VLOOKUP(Table30[[#This Row],[bal_nr]],Table2[#All],4,FALSE))</f>
        <v>3.4.4 Metaalproductenindustrie</v>
      </c>
      <c r="E159" t="str">
        <f>IF(VLOOKUP(Table30[[#This Row],[bal_nr]],Table2[#All],5,FALSE)=0,"",VLOOKUP(Table30[[#This Row],[bal_nr]],Table2[#All],5,FALSE))</f>
        <v/>
      </c>
      <c r="F159">
        <v>33</v>
      </c>
    </row>
    <row r="160" spans="1:6" x14ac:dyDescent="0.25">
      <c r="A160" s="1" t="s">
        <v>83</v>
      </c>
      <c r="B160" t="s">
        <v>507</v>
      </c>
      <c r="C160" t="str">
        <f>IF(VLOOKUP(Table30[[#This Row],[bal_nr]],Table2[#All],3,FALSE)=0,"",VLOOKUP(Table30[[#This Row],[bal_nr]],Table2[#All],3,FALSE))</f>
        <v>3.4 Nutssector en industrie</v>
      </c>
      <c r="D160" t="str">
        <f>IF(VLOOKUP(Table30[[#This Row],[bal_nr]],Table2[#All],4,FALSE)=0,"",VLOOKUP(Table30[[#This Row],[bal_nr]],Table2[#All],4,FALSE))</f>
        <v>3.4.4 Metaalproductenindustrie</v>
      </c>
      <c r="E160" t="str">
        <f>IF(VLOOKUP(Table30[[#This Row],[bal_nr]],Table2[#All],5,FALSE)=0,"",VLOOKUP(Table30[[#This Row],[bal_nr]],Table2[#All],5,FALSE))</f>
        <v/>
      </c>
      <c r="F160">
        <v>33</v>
      </c>
    </row>
    <row r="161" spans="1:6" x14ac:dyDescent="0.25">
      <c r="A161" s="1" t="s">
        <v>84</v>
      </c>
      <c r="B161" t="s">
        <v>508</v>
      </c>
      <c r="C161" t="str">
        <f>IF(VLOOKUP(Table30[[#This Row],[bal_nr]],Table2[#All],3,FALSE)=0,"",VLOOKUP(Table30[[#This Row],[bal_nr]],Table2[#All],3,FALSE))</f>
        <v>3.4 Nutssector en industrie</v>
      </c>
      <c r="D161" t="str">
        <f>IF(VLOOKUP(Table30[[#This Row],[bal_nr]],Table2[#All],4,FALSE)=0,"",VLOOKUP(Table30[[#This Row],[bal_nr]],Table2[#All],4,FALSE))</f>
        <v>3.4.4 Metaalproductenindustrie</v>
      </c>
      <c r="E161" t="str">
        <f>IF(VLOOKUP(Table30[[#This Row],[bal_nr]],Table2[#All],5,FALSE)=0,"",VLOOKUP(Table30[[#This Row],[bal_nr]],Table2[#All],5,FALSE))</f>
        <v/>
      </c>
      <c r="F161">
        <v>33</v>
      </c>
    </row>
    <row r="162" spans="1:6" x14ac:dyDescent="0.25">
      <c r="A162" s="1" t="s">
        <v>85</v>
      </c>
      <c r="B162" t="s">
        <v>509</v>
      </c>
      <c r="C162" t="str">
        <f>IF(VLOOKUP(Table30[[#This Row],[bal_nr]],Table2[#All],3,FALSE)=0,"",VLOOKUP(Table30[[#This Row],[bal_nr]],Table2[#All],3,FALSE))</f>
        <v>3.4 Nutssector en industrie</v>
      </c>
      <c r="D162" t="str">
        <f>IF(VLOOKUP(Table30[[#This Row],[bal_nr]],Table2[#All],4,FALSE)=0,"",VLOOKUP(Table30[[#This Row],[bal_nr]],Table2[#All],4,FALSE))</f>
        <v>3.4.4 Metaalproductenindustrie</v>
      </c>
      <c r="E162" t="str">
        <f>IF(VLOOKUP(Table30[[#This Row],[bal_nr]],Table2[#All],5,FALSE)=0,"",VLOOKUP(Table30[[#This Row],[bal_nr]],Table2[#All],5,FALSE))</f>
        <v/>
      </c>
      <c r="F162">
        <v>33</v>
      </c>
    </row>
    <row r="163" spans="1:6" x14ac:dyDescent="0.25">
      <c r="A163" s="1" t="s">
        <v>88</v>
      </c>
      <c r="B163" t="s">
        <v>512</v>
      </c>
      <c r="C163" t="str">
        <f>IF(VLOOKUP(Table30[[#This Row],[bal_nr]],Table2[#All],3,FALSE)=0,"",VLOOKUP(Table30[[#This Row],[bal_nr]],Table2[#All],3,FALSE))</f>
        <v>3.4 Nutssector en industrie</v>
      </c>
      <c r="D163" t="str">
        <f>IF(VLOOKUP(Table30[[#This Row],[bal_nr]],Table2[#All],4,FALSE)=0,"",VLOOKUP(Table30[[#This Row],[bal_nr]],Table2[#All],4,FALSE))</f>
        <v>3.4.4 Metaalproductenindustrie</v>
      </c>
      <c r="E163" t="str">
        <f>IF(VLOOKUP(Table30[[#This Row],[bal_nr]],Table2[#All],5,FALSE)=0,"",VLOOKUP(Table30[[#This Row],[bal_nr]],Table2[#All],5,FALSE))</f>
        <v/>
      </c>
      <c r="F163">
        <v>33</v>
      </c>
    </row>
    <row r="164" spans="1:6" x14ac:dyDescent="0.25">
      <c r="A164" s="1" t="s">
        <v>89</v>
      </c>
      <c r="B164" t="s">
        <v>513</v>
      </c>
      <c r="C164" t="str">
        <f>IF(VLOOKUP(Table30[[#This Row],[bal_nr]],Table2[#All],3,FALSE)=0,"",VLOOKUP(Table30[[#This Row],[bal_nr]],Table2[#All],3,FALSE))</f>
        <v>3.4 Nutssector en industrie</v>
      </c>
      <c r="D164" t="str">
        <f>IF(VLOOKUP(Table30[[#This Row],[bal_nr]],Table2[#All],4,FALSE)=0,"",VLOOKUP(Table30[[#This Row],[bal_nr]],Table2[#All],4,FALSE))</f>
        <v>3.4.4 Metaalproductenindustrie</v>
      </c>
      <c r="E164" t="str">
        <f>IF(VLOOKUP(Table30[[#This Row],[bal_nr]],Table2[#All],5,FALSE)=0,"",VLOOKUP(Table30[[#This Row],[bal_nr]],Table2[#All],5,FALSE))</f>
        <v/>
      </c>
      <c r="F164">
        <v>33</v>
      </c>
    </row>
    <row r="165" spans="1:6" x14ac:dyDescent="0.25">
      <c r="A165" s="1" t="s">
        <v>90</v>
      </c>
      <c r="B165" t="s">
        <v>514</v>
      </c>
      <c r="C165" t="str">
        <f>IF(VLOOKUP(Table30[[#This Row],[bal_nr]],Table2[#All],3,FALSE)=0,"",VLOOKUP(Table30[[#This Row],[bal_nr]],Table2[#All],3,FALSE))</f>
        <v>3.4 Nutssector en industrie</v>
      </c>
      <c r="D165" t="str">
        <f>IF(VLOOKUP(Table30[[#This Row],[bal_nr]],Table2[#All],4,FALSE)=0,"",VLOOKUP(Table30[[#This Row],[bal_nr]],Table2[#All],4,FALSE))</f>
        <v>3.4.4 Metaalproductenindustrie</v>
      </c>
      <c r="E165" t="str">
        <f>IF(VLOOKUP(Table30[[#This Row],[bal_nr]],Table2[#All],5,FALSE)=0,"",VLOOKUP(Table30[[#This Row],[bal_nr]],Table2[#All],5,FALSE))</f>
        <v/>
      </c>
      <c r="F165">
        <v>33</v>
      </c>
    </row>
    <row r="166" spans="1:6" x14ac:dyDescent="0.25">
      <c r="A166" s="1" t="s">
        <v>91</v>
      </c>
      <c r="B166" t="s">
        <v>515</v>
      </c>
      <c r="C166" t="str">
        <f>IF(VLOOKUP(Table30[[#This Row],[bal_nr]],Table2[#All],3,FALSE)=0,"",VLOOKUP(Table30[[#This Row],[bal_nr]],Table2[#All],3,FALSE))</f>
        <v>3.4 Nutssector en industrie</v>
      </c>
      <c r="D166" t="str">
        <f>IF(VLOOKUP(Table30[[#This Row],[bal_nr]],Table2[#All],4,FALSE)=0,"",VLOOKUP(Table30[[#This Row],[bal_nr]],Table2[#All],4,FALSE))</f>
        <v>3.4.4 Metaalproductenindustrie</v>
      </c>
      <c r="E166" t="str">
        <f>IF(VLOOKUP(Table30[[#This Row],[bal_nr]],Table2[#All],5,FALSE)=0,"",VLOOKUP(Table30[[#This Row],[bal_nr]],Table2[#All],5,FALSE))</f>
        <v/>
      </c>
      <c r="F166">
        <v>33</v>
      </c>
    </row>
    <row r="167" spans="1:6" x14ac:dyDescent="0.25">
      <c r="A167" s="1" t="s">
        <v>92</v>
      </c>
      <c r="B167" t="s">
        <v>516</v>
      </c>
      <c r="C167" t="str">
        <f>IF(VLOOKUP(Table30[[#This Row],[bal_nr]],Table2[#All],3,FALSE)=0,"",VLOOKUP(Table30[[#This Row],[bal_nr]],Table2[#All],3,FALSE))</f>
        <v>3.4 Nutssector en industrie</v>
      </c>
      <c r="D167" t="str">
        <f>IF(VLOOKUP(Table30[[#This Row],[bal_nr]],Table2[#All],4,FALSE)=0,"",VLOOKUP(Table30[[#This Row],[bal_nr]],Table2[#All],4,FALSE))</f>
        <v>3.4.4 Metaalproductenindustrie</v>
      </c>
      <c r="E167" t="str">
        <f>IF(VLOOKUP(Table30[[#This Row],[bal_nr]],Table2[#All],5,FALSE)=0,"",VLOOKUP(Table30[[#This Row],[bal_nr]],Table2[#All],5,FALSE))</f>
        <v/>
      </c>
      <c r="F167">
        <v>33</v>
      </c>
    </row>
    <row r="168" spans="1:6" x14ac:dyDescent="0.25">
      <c r="A168" s="1" t="s">
        <v>93</v>
      </c>
      <c r="B168" t="s">
        <v>517</v>
      </c>
      <c r="C168" t="str">
        <f>IF(VLOOKUP(Table30[[#This Row],[bal_nr]],Table2[#All],3,FALSE)=0,"",VLOOKUP(Table30[[#This Row],[bal_nr]],Table2[#All],3,FALSE))</f>
        <v>3.4 Nutssector en industrie</v>
      </c>
      <c r="D168" t="str">
        <f>IF(VLOOKUP(Table30[[#This Row],[bal_nr]],Table2[#All],4,FALSE)=0,"",VLOOKUP(Table30[[#This Row],[bal_nr]],Table2[#All],4,FALSE))</f>
        <v>3.4.4 Metaalproductenindustrie</v>
      </c>
      <c r="E168" t="str">
        <f>IF(VLOOKUP(Table30[[#This Row],[bal_nr]],Table2[#All],5,FALSE)=0,"",VLOOKUP(Table30[[#This Row],[bal_nr]],Table2[#All],5,FALSE))</f>
        <v/>
      </c>
      <c r="F168">
        <v>33</v>
      </c>
    </row>
    <row r="169" spans="1:6" x14ac:dyDescent="0.25">
      <c r="A169" s="1" t="s">
        <v>94</v>
      </c>
      <c r="B169" t="s">
        <v>518</v>
      </c>
      <c r="C169" t="str">
        <f>IF(VLOOKUP(Table30[[#This Row],[bal_nr]],Table2[#All],3,FALSE)=0,"",VLOOKUP(Table30[[#This Row],[bal_nr]],Table2[#All],3,FALSE))</f>
        <v>3.4 Nutssector en industrie</v>
      </c>
      <c r="D169" t="str">
        <f>IF(VLOOKUP(Table30[[#This Row],[bal_nr]],Table2[#All],4,FALSE)=0,"",VLOOKUP(Table30[[#This Row],[bal_nr]],Table2[#All],4,FALSE))</f>
        <v>3.4.4 Metaalproductenindustrie</v>
      </c>
      <c r="E169" t="str">
        <f>IF(VLOOKUP(Table30[[#This Row],[bal_nr]],Table2[#All],5,FALSE)=0,"",VLOOKUP(Table30[[#This Row],[bal_nr]],Table2[#All],5,FALSE))</f>
        <v/>
      </c>
      <c r="F169">
        <v>33</v>
      </c>
    </row>
    <row r="170" spans="1:6" x14ac:dyDescent="0.25">
      <c r="A170" s="1" t="s">
        <v>95</v>
      </c>
      <c r="B170" t="s">
        <v>519</v>
      </c>
      <c r="C170" t="str">
        <f>IF(VLOOKUP(Table30[[#This Row],[bal_nr]],Table2[#All],3,FALSE)=0,"",VLOOKUP(Table30[[#This Row],[bal_nr]],Table2[#All],3,FALSE))</f>
        <v>3.4 Nutssector en industrie</v>
      </c>
      <c r="D170" t="str">
        <f>IF(VLOOKUP(Table30[[#This Row],[bal_nr]],Table2[#All],4,FALSE)=0,"",VLOOKUP(Table30[[#This Row],[bal_nr]],Table2[#All],4,FALSE))</f>
        <v>3.4.4 Metaalproductenindustrie</v>
      </c>
      <c r="E170" t="str">
        <f>IF(VLOOKUP(Table30[[#This Row],[bal_nr]],Table2[#All],5,FALSE)=0,"",VLOOKUP(Table30[[#This Row],[bal_nr]],Table2[#All],5,FALSE))</f>
        <v/>
      </c>
      <c r="F170">
        <v>33</v>
      </c>
    </row>
    <row r="171" spans="1:6" x14ac:dyDescent="0.25">
      <c r="A171" s="1" t="s">
        <v>322</v>
      </c>
      <c r="B171" t="s">
        <v>473</v>
      </c>
      <c r="C171" t="str">
        <f>IF(VLOOKUP(Table30[[#This Row],[bal_nr]],Table2[#All],3,FALSE)=0,"",VLOOKUP(Table30[[#This Row],[bal_nr]],Table2[#All],3,FALSE))</f>
        <v>3.4 Nutssector en industrie</v>
      </c>
      <c r="D171" t="str">
        <f>IF(VLOOKUP(Table30[[#This Row],[bal_nr]],Table2[#All],4,FALSE)=0,"",VLOOKUP(Table30[[#This Row],[bal_nr]],Table2[#All],4,FALSE))</f>
        <v>3.4.5 Minerale producten industrie</v>
      </c>
      <c r="E171" t="str">
        <f>IF(VLOOKUP(Table30[[#This Row],[bal_nr]],Table2[#All],5,FALSE)=0,"",VLOOKUP(Table30[[#This Row],[bal_nr]],Table2[#All],5,FALSE))</f>
        <v>3.4.5 a/c het maken van keramische producten door verhitting</v>
      </c>
      <c r="F171">
        <v>40</v>
      </c>
    </row>
    <row r="172" spans="1:6" x14ac:dyDescent="0.25">
      <c r="A172" s="1" t="s">
        <v>323</v>
      </c>
      <c r="B172" t="s">
        <v>474</v>
      </c>
      <c r="C172" t="str">
        <f>IF(VLOOKUP(Table30[[#This Row],[bal_nr]],Table2[#All],3,FALSE)=0,"",VLOOKUP(Table30[[#This Row],[bal_nr]],Table2[#All],3,FALSE))</f>
        <v>3.4 Nutssector en industrie</v>
      </c>
      <c r="D172" t="str">
        <f>IF(VLOOKUP(Table30[[#This Row],[bal_nr]],Table2[#All],4,FALSE)=0,"",VLOOKUP(Table30[[#This Row],[bal_nr]],Table2[#All],4,FALSE))</f>
        <v>3.4.5 Minerale producten industrie</v>
      </c>
      <c r="E172" t="str">
        <f>IF(VLOOKUP(Table30[[#This Row],[bal_nr]],Table2[#All],5,FALSE)=0,"",VLOOKUP(Table30[[#This Row],[bal_nr]],Table2[#All],5,FALSE))</f>
        <v>3.4.5 a/c het maken van keramische producten door verhitting</v>
      </c>
      <c r="F172">
        <v>40</v>
      </c>
    </row>
    <row r="173" spans="1:6" x14ac:dyDescent="0.25">
      <c r="A173" s="1" t="s">
        <v>324</v>
      </c>
      <c r="B173" t="s">
        <v>475</v>
      </c>
      <c r="C173" t="str">
        <f>IF(VLOOKUP(Table30[[#This Row],[bal_nr]],Table2[#All],3,FALSE)=0,"",VLOOKUP(Table30[[#This Row],[bal_nr]],Table2[#All],3,FALSE))</f>
        <v>3.4 Nutssector en industrie</v>
      </c>
      <c r="D173" t="str">
        <f>IF(VLOOKUP(Table30[[#This Row],[bal_nr]],Table2[#All],4,FALSE)=0,"",VLOOKUP(Table30[[#This Row],[bal_nr]],Table2[#All],4,FALSE))</f>
        <v>3.4.5 Minerale producten industrie</v>
      </c>
      <c r="E173" t="str">
        <f>IF(VLOOKUP(Table30[[#This Row],[bal_nr]],Table2[#All],5,FALSE)=0,"",VLOOKUP(Table30[[#This Row],[bal_nr]],Table2[#All],5,FALSE))</f>
        <v>3.4.5 a/c het maken van keramische producten door verhitting</v>
      </c>
      <c r="F173">
        <v>40</v>
      </c>
    </row>
    <row r="174" spans="1:6" x14ac:dyDescent="0.25">
      <c r="A174" s="1" t="s">
        <v>316</v>
      </c>
      <c r="B174" t="s">
        <v>468</v>
      </c>
      <c r="C174" t="str">
        <f>IF(VLOOKUP(Table30[[#This Row],[bal_nr]],Table2[#All],3,FALSE)=0,"",VLOOKUP(Table30[[#This Row],[bal_nr]],Table2[#All],3,FALSE))</f>
        <v>3.4 Nutssector en industrie</v>
      </c>
      <c r="D174" t="str">
        <f>IF(VLOOKUP(Table30[[#This Row],[bal_nr]],Table2[#All],4,FALSE)=0,"",VLOOKUP(Table30[[#This Row],[bal_nr]],Table2[#All],4,FALSE))</f>
        <v>3.4.5 Minerale producten industrie</v>
      </c>
      <c r="E174" t="str">
        <f>IF(VLOOKUP(Table30[[#This Row],[bal_nr]],Table2[#All],5,FALSE)=0,"",VLOOKUP(Table30[[#This Row],[bal_nr]],Table2[#All],5,FALSE))</f>
        <v>3.4.5 b het maken van producten van glas</v>
      </c>
      <c r="F174">
        <v>41</v>
      </c>
    </row>
    <row r="175" spans="1:6" x14ac:dyDescent="0.25">
      <c r="A175" s="1" t="s">
        <v>14</v>
      </c>
      <c r="B175" t="s">
        <v>37</v>
      </c>
      <c r="C175" t="str">
        <f>IF(VLOOKUP(Table30[[#This Row],[bal_nr]],Table2[#All],3,FALSE)=0,"",VLOOKUP(Table30[[#This Row],[bal_nr]],Table2[#All],3,FALSE))</f>
        <v>3.4 Nutssector en industrie</v>
      </c>
      <c r="D175" t="str">
        <f>IF(VLOOKUP(Table30[[#This Row],[bal_nr]],Table2[#All],4,FALSE)=0,"",VLOOKUP(Table30[[#This Row],[bal_nr]],Table2[#All],4,FALSE))</f>
        <v>3.4.5 Minerale producten industrie</v>
      </c>
      <c r="E175" t="str">
        <f>IF(VLOOKUP(Table30[[#This Row],[bal_nr]],Table2[#All],5,FALSE)=0,"",VLOOKUP(Table30[[#This Row],[bal_nr]],Table2[#All],5,FALSE))</f>
        <v>3.4.5 e het winnen van steen, mergel, zand, grind of kalk</v>
      </c>
      <c r="F175">
        <v>42</v>
      </c>
    </row>
    <row r="176" spans="1:6" x14ac:dyDescent="0.25">
      <c r="A176" s="1" t="s">
        <v>16</v>
      </c>
      <c r="B176" t="s">
        <v>38</v>
      </c>
      <c r="C176" t="str">
        <f>IF(VLOOKUP(Table30[[#This Row],[bal_nr]],Table2[#All],3,FALSE)=0,"",VLOOKUP(Table30[[#This Row],[bal_nr]],Table2[#All],3,FALSE))</f>
        <v>3.4 Nutssector en industrie</v>
      </c>
      <c r="D176" t="str">
        <f>IF(VLOOKUP(Table30[[#This Row],[bal_nr]],Table2[#All],4,FALSE)=0,"",VLOOKUP(Table30[[#This Row],[bal_nr]],Table2[#All],4,FALSE))</f>
        <v>3.4.5 Minerale producten industrie</v>
      </c>
      <c r="E176" t="str">
        <f>IF(VLOOKUP(Table30[[#This Row],[bal_nr]],Table2[#All],5,FALSE)=0,"",VLOOKUP(Table30[[#This Row],[bal_nr]],Table2[#All],5,FALSE))</f>
        <v>3.4.5 e het winnen van steen, mergel, zand, grind of kalk</v>
      </c>
      <c r="F176">
        <v>42</v>
      </c>
    </row>
    <row r="177" spans="1:6" x14ac:dyDescent="0.25">
      <c r="A177" s="1" t="s">
        <v>17</v>
      </c>
      <c r="B177" t="s">
        <v>39</v>
      </c>
      <c r="C177" t="str">
        <f>IF(VLOOKUP(Table30[[#This Row],[bal_nr]],Table2[#All],3,FALSE)=0,"",VLOOKUP(Table30[[#This Row],[bal_nr]],Table2[#All],3,FALSE))</f>
        <v>3.4 Nutssector en industrie</v>
      </c>
      <c r="D177" t="str">
        <f>IF(VLOOKUP(Table30[[#This Row],[bal_nr]],Table2[#All],4,FALSE)=0,"",VLOOKUP(Table30[[#This Row],[bal_nr]],Table2[#All],4,FALSE))</f>
        <v>3.4.5 Minerale producten industrie</v>
      </c>
      <c r="E177" t="str">
        <f>IF(VLOOKUP(Table30[[#This Row],[bal_nr]],Table2[#All],5,FALSE)=0,"",VLOOKUP(Table30[[#This Row],[bal_nr]],Table2[#All],5,FALSE))</f>
        <v>3.4.5 e het winnen van steen, mergel, zand, grind of kalk</v>
      </c>
      <c r="F177">
        <v>42</v>
      </c>
    </row>
    <row r="178" spans="1:6" x14ac:dyDescent="0.25">
      <c r="A178" s="1" t="s">
        <v>325</v>
      </c>
      <c r="B178" t="s">
        <v>476</v>
      </c>
      <c r="C178" t="str">
        <f>IF(VLOOKUP(Table30[[#This Row],[bal_nr]],Table2[#All],3,FALSE)=0,"",VLOOKUP(Table30[[#This Row],[bal_nr]],Table2[#All],3,FALSE))</f>
        <v>3.4 Nutssector en industrie</v>
      </c>
      <c r="D178" t="str">
        <f>IF(VLOOKUP(Table30[[#This Row],[bal_nr]],Table2[#All],4,FALSE)=0,"",VLOOKUP(Table30[[#This Row],[bal_nr]],Table2[#All],4,FALSE))</f>
        <v>3.4.5 Minerale producten industrie</v>
      </c>
      <c r="E178" t="str">
        <f>IF(VLOOKUP(Table30[[#This Row],[bal_nr]],Table2[#All],5,FALSE)=0,"",VLOOKUP(Table30[[#This Row],[bal_nr]],Table2[#All],5,FALSE))</f>
        <v>3.4.5 f het breken, malen, zeven of drogen van mergel, zand, grind, kalk, steenkolen of andere mineralen of derivaten daarvan</v>
      </c>
      <c r="F178">
        <v>43</v>
      </c>
    </row>
    <row r="179" spans="1:6" x14ac:dyDescent="0.25">
      <c r="A179" s="1" t="s">
        <v>332</v>
      </c>
      <c r="B179" t="s">
        <v>483</v>
      </c>
      <c r="C179" t="str">
        <f>IF(VLOOKUP(Table30[[#This Row],[bal_nr]],Table2[#All],3,FALSE)=0,"",VLOOKUP(Table30[[#This Row],[bal_nr]],Table2[#All],3,FALSE))</f>
        <v>3.4 Nutssector en industrie</v>
      </c>
      <c r="D179" t="str">
        <f>IF(VLOOKUP(Table30[[#This Row],[bal_nr]],Table2[#All],4,FALSE)=0,"",VLOOKUP(Table30[[#This Row],[bal_nr]],Table2[#All],4,FALSE))</f>
        <v>3.4.5 Minerale producten industrie</v>
      </c>
      <c r="E179" t="str">
        <f>IF(VLOOKUP(Table30[[#This Row],[bal_nr]],Table2[#All],5,FALSE)=0,"",VLOOKUP(Table30[[#This Row],[bal_nr]],Table2[#All],5,FALSE))</f>
        <v>3.4.5 f het breken, malen, zeven of drogen van mergel, zand, grind, kalk, steenkolen of andere mineralen of derivaten daarvan</v>
      </c>
      <c r="F179">
        <v>43</v>
      </c>
    </row>
    <row r="180" spans="1:6" x14ac:dyDescent="0.25">
      <c r="A180" s="1" t="s">
        <v>328</v>
      </c>
      <c r="B180" t="s">
        <v>479</v>
      </c>
      <c r="C180" t="str">
        <f>IF(VLOOKUP(Table30[[#This Row],[bal_nr]],Table2[#All],3,FALSE)=0,"",VLOOKUP(Table30[[#This Row],[bal_nr]],Table2[#All],3,FALSE))</f>
        <v>3.4 Nutssector en industrie</v>
      </c>
      <c r="D180" t="str">
        <f>IF(VLOOKUP(Table30[[#This Row],[bal_nr]],Table2[#All],4,FALSE)=0,"",VLOOKUP(Table30[[#This Row],[bal_nr]],Table2[#All],4,FALSE))</f>
        <v>3.4.5 Minerale producten industrie</v>
      </c>
      <c r="E180" t="str">
        <f>IF(VLOOKUP(Table30[[#This Row],[bal_nr]],Table2[#All],5,FALSE)=0,"",VLOOKUP(Table30[[#This Row],[bal_nr]],Table2[#All],5,FALSE))</f>
        <v>3.4.5 h het maken van betonmortel of producten van betonmortel</v>
      </c>
      <c r="F180">
        <v>45</v>
      </c>
    </row>
    <row r="181" spans="1:6" x14ac:dyDescent="0.25">
      <c r="A181" s="1" t="s">
        <v>315</v>
      </c>
      <c r="B181" t="s">
        <v>467</v>
      </c>
      <c r="C181" t="str">
        <f>IF(VLOOKUP(Table30[[#This Row],[bal_nr]],Table2[#All],3,FALSE)=0,"",VLOOKUP(Table30[[#This Row],[bal_nr]],Table2[#All],3,FALSE))</f>
        <v>3.4 Nutssector en industrie</v>
      </c>
      <c r="D181" t="str">
        <f>IF(VLOOKUP(Table30[[#This Row],[bal_nr]],Table2[#All],4,FALSE)=0,"",VLOOKUP(Table30[[#This Row],[bal_nr]],Table2[#All],4,FALSE))</f>
        <v>3.4.5 Minerale producten industrie</v>
      </c>
      <c r="E181" t="str">
        <f>IF(VLOOKUP(Table30[[#This Row],[bal_nr]],Table2[#All],5,FALSE)=0,"",VLOOKUP(Table30[[#This Row],[bal_nr]],Table2[#All],5,FALSE))</f>
        <v/>
      </c>
      <c r="F181">
        <v>39</v>
      </c>
    </row>
    <row r="182" spans="1:6" x14ac:dyDescent="0.25">
      <c r="A182" s="1" t="s">
        <v>321</v>
      </c>
      <c r="B182" t="s">
        <v>472</v>
      </c>
      <c r="C182" t="str">
        <f>IF(VLOOKUP(Table30[[#This Row],[bal_nr]],Table2[#All],3,FALSE)=0,"",VLOOKUP(Table30[[#This Row],[bal_nr]],Table2[#All],3,FALSE))</f>
        <v>3.4 Nutssector en industrie</v>
      </c>
      <c r="D182" t="str">
        <f>IF(VLOOKUP(Table30[[#This Row],[bal_nr]],Table2[#All],4,FALSE)=0,"",VLOOKUP(Table30[[#This Row],[bal_nr]],Table2[#All],4,FALSE))</f>
        <v>3.4.5 Minerale producten industrie</v>
      </c>
      <c r="E182" t="str">
        <f>IF(VLOOKUP(Table30[[#This Row],[bal_nr]],Table2[#All],5,FALSE)=0,"",VLOOKUP(Table30[[#This Row],[bal_nr]],Table2[#All],5,FALSE))</f>
        <v/>
      </c>
      <c r="F182">
        <v>39</v>
      </c>
    </row>
    <row r="183" spans="1:6" x14ac:dyDescent="0.25">
      <c r="A183" s="1" t="s">
        <v>329</v>
      </c>
      <c r="B183" t="s">
        <v>480</v>
      </c>
      <c r="C183" t="str">
        <f>IF(VLOOKUP(Table30[[#This Row],[bal_nr]],Table2[#All],3,FALSE)=0,"",VLOOKUP(Table30[[#This Row],[bal_nr]],Table2[#All],3,FALSE))</f>
        <v>3.4 Nutssector en industrie</v>
      </c>
      <c r="D183" t="str">
        <f>IF(VLOOKUP(Table30[[#This Row],[bal_nr]],Table2[#All],4,FALSE)=0,"",VLOOKUP(Table30[[#This Row],[bal_nr]],Table2[#All],4,FALSE))</f>
        <v>3.4.5 Minerale producten industrie</v>
      </c>
      <c r="E183" t="str">
        <f>IF(VLOOKUP(Table30[[#This Row],[bal_nr]],Table2[#All],5,FALSE)=0,"",VLOOKUP(Table30[[#This Row],[bal_nr]],Table2[#All],5,FALSE))</f>
        <v/>
      </c>
      <c r="F183">
        <v>39</v>
      </c>
    </row>
    <row r="184" spans="1:6" x14ac:dyDescent="0.25">
      <c r="A184" s="1" t="s">
        <v>330</v>
      </c>
      <c r="B184" t="s">
        <v>481</v>
      </c>
      <c r="C184" t="str">
        <f>IF(VLOOKUP(Table30[[#This Row],[bal_nr]],Table2[#All],3,FALSE)=0,"",VLOOKUP(Table30[[#This Row],[bal_nr]],Table2[#All],3,FALSE))</f>
        <v>3.4 Nutssector en industrie</v>
      </c>
      <c r="D184" t="str">
        <f>IF(VLOOKUP(Table30[[#This Row],[bal_nr]],Table2[#All],4,FALSE)=0,"",VLOOKUP(Table30[[#This Row],[bal_nr]],Table2[#All],4,FALSE))</f>
        <v>3.4.5 Minerale producten industrie</v>
      </c>
      <c r="E184" t="str">
        <f>IF(VLOOKUP(Table30[[#This Row],[bal_nr]],Table2[#All],5,FALSE)=0,"",VLOOKUP(Table30[[#This Row],[bal_nr]],Table2[#All],5,FALSE))</f>
        <v/>
      </c>
      <c r="F184">
        <v>39</v>
      </c>
    </row>
    <row r="185" spans="1:6" x14ac:dyDescent="0.25">
      <c r="A185" s="1" t="s">
        <v>331</v>
      </c>
      <c r="B185" t="s">
        <v>482</v>
      </c>
      <c r="C185" t="str">
        <f>IF(VLOOKUP(Table30[[#This Row],[bal_nr]],Table2[#All],3,FALSE)=0,"",VLOOKUP(Table30[[#This Row],[bal_nr]],Table2[#All],3,FALSE))</f>
        <v>3.4 Nutssector en industrie</v>
      </c>
      <c r="D185" t="str">
        <f>IF(VLOOKUP(Table30[[#This Row],[bal_nr]],Table2[#All],4,FALSE)=0,"",VLOOKUP(Table30[[#This Row],[bal_nr]],Table2[#All],4,FALSE))</f>
        <v>3.4.5 Minerale producten industrie</v>
      </c>
      <c r="E185" t="str">
        <f>IF(VLOOKUP(Table30[[#This Row],[bal_nr]],Table2[#All],5,FALSE)=0,"",VLOOKUP(Table30[[#This Row],[bal_nr]],Table2[#All],5,FALSE))</f>
        <v/>
      </c>
      <c r="F185">
        <v>39</v>
      </c>
    </row>
    <row r="186" spans="1:6" x14ac:dyDescent="0.25">
      <c r="A186" s="1" t="s">
        <v>333</v>
      </c>
      <c r="B186" t="s">
        <v>484</v>
      </c>
      <c r="C186" t="str">
        <f>IF(VLOOKUP(Table30[[#This Row],[bal_nr]],Table2[#All],3,FALSE)=0,"",VLOOKUP(Table30[[#This Row],[bal_nr]],Table2[#All],3,FALSE))</f>
        <v>3.4 Nutssector en industrie</v>
      </c>
      <c r="D186" t="str">
        <f>IF(VLOOKUP(Table30[[#This Row],[bal_nr]],Table2[#All],4,FALSE)=0,"",VLOOKUP(Table30[[#This Row],[bal_nr]],Table2[#All],4,FALSE))</f>
        <v>3.4.5 Minerale producten industrie</v>
      </c>
      <c r="E186" t="str">
        <f>IF(VLOOKUP(Table30[[#This Row],[bal_nr]],Table2[#All],5,FALSE)=0,"",VLOOKUP(Table30[[#This Row],[bal_nr]],Table2[#All],5,FALSE))</f>
        <v/>
      </c>
      <c r="F186">
        <v>39</v>
      </c>
    </row>
    <row r="187" spans="1:6" x14ac:dyDescent="0.25">
      <c r="A187" s="1" t="s">
        <v>334</v>
      </c>
      <c r="B187" t="s">
        <v>485</v>
      </c>
      <c r="C187" t="str">
        <f>IF(VLOOKUP(Table30[[#This Row],[bal_nr]],Table2[#All],3,FALSE)=0,"",VLOOKUP(Table30[[#This Row],[bal_nr]],Table2[#All],3,FALSE))</f>
        <v>3.4 Nutssector en industrie</v>
      </c>
      <c r="D187" t="str">
        <f>IF(VLOOKUP(Table30[[#This Row],[bal_nr]],Table2[#All],4,FALSE)=0,"",VLOOKUP(Table30[[#This Row],[bal_nr]],Table2[#All],4,FALSE))</f>
        <v>3.4.5 Minerale producten industrie</v>
      </c>
      <c r="E187" t="str">
        <f>IF(VLOOKUP(Table30[[#This Row],[bal_nr]],Table2[#All],5,FALSE)=0,"",VLOOKUP(Table30[[#This Row],[bal_nr]],Table2[#All],5,FALSE))</f>
        <v/>
      </c>
      <c r="F187">
        <v>39</v>
      </c>
    </row>
    <row r="188" spans="1:6" x14ac:dyDescent="0.25">
      <c r="A188" s="1" t="s">
        <v>335</v>
      </c>
      <c r="B188" t="s">
        <v>486</v>
      </c>
      <c r="C188" t="str">
        <f>IF(VLOOKUP(Table30[[#This Row],[bal_nr]],Table2[#All],3,FALSE)=0,"",VLOOKUP(Table30[[#This Row],[bal_nr]],Table2[#All],3,FALSE))</f>
        <v>3.4 Nutssector en industrie</v>
      </c>
      <c r="D188" t="str">
        <f>IF(VLOOKUP(Table30[[#This Row],[bal_nr]],Table2[#All],4,FALSE)=0,"",VLOOKUP(Table30[[#This Row],[bal_nr]],Table2[#All],4,FALSE))</f>
        <v>3.4.5 Minerale producten industrie</v>
      </c>
      <c r="E188" t="str">
        <f>IF(VLOOKUP(Table30[[#This Row],[bal_nr]],Table2[#All],5,FALSE)=0,"",VLOOKUP(Table30[[#This Row],[bal_nr]],Table2[#All],5,FALSE))</f>
        <v/>
      </c>
      <c r="F188">
        <v>39</v>
      </c>
    </row>
    <row r="189" spans="1:6" x14ac:dyDescent="0.25">
      <c r="A189" s="1" t="s">
        <v>293</v>
      </c>
      <c r="B189" t="s">
        <v>446</v>
      </c>
      <c r="C189" t="str">
        <f>IF(VLOOKUP(Table30[[#This Row],[bal_nr]],Table2[#All],3,FALSE)=0,"",VLOOKUP(Table30[[#This Row],[bal_nr]],Table2[#All],3,FALSE))</f>
        <v>3.4 Nutssector en industrie</v>
      </c>
      <c r="D189" t="str">
        <f>IF(VLOOKUP(Table30[[#This Row],[bal_nr]],Table2[#All],4,FALSE)=0,"",VLOOKUP(Table30[[#This Row],[bal_nr]],Table2[#All],4,FALSE))</f>
        <v>3.4.6 Chemische producten industrie</v>
      </c>
      <c r="E189" t="str">
        <f>IF(VLOOKUP(Table30[[#This Row],[bal_nr]],Table2[#All],5,FALSE)=0,"",VLOOKUP(Table30[[#This Row],[bal_nr]],Table2[#All],5,FALSE))</f>
        <v>3.4.6 a het maken van elastomeren, verf, lak, drukinkt, lijm, waspoeder of enzymen</v>
      </c>
      <c r="F189">
        <v>47</v>
      </c>
    </row>
    <row r="190" spans="1:6" x14ac:dyDescent="0.25">
      <c r="A190" s="1" t="s">
        <v>299</v>
      </c>
      <c r="B190" t="s">
        <v>452</v>
      </c>
      <c r="C190" t="str">
        <f>IF(VLOOKUP(Table30[[#This Row],[bal_nr]],Table2[#All],3,FALSE)=0,"",VLOOKUP(Table30[[#This Row],[bal_nr]],Table2[#All],3,FALSE))</f>
        <v>3.4 Nutssector en industrie</v>
      </c>
      <c r="D190" t="str">
        <f>IF(VLOOKUP(Table30[[#This Row],[bal_nr]],Table2[#All],4,FALSE)=0,"",VLOOKUP(Table30[[#This Row],[bal_nr]],Table2[#All],4,FALSE))</f>
        <v>3.4.6 Chemische producten industrie</v>
      </c>
      <c r="E190" t="str">
        <f>IF(VLOOKUP(Table30[[#This Row],[bal_nr]],Table2[#All],5,FALSE)=0,"",VLOOKUP(Table30[[#This Row],[bal_nr]],Table2[#All],5,FALSE))</f>
        <v>3.4.6 a het maken van elastomeren, verf, lak, drukinkt, lijm, waspoeder of enzymen</v>
      </c>
      <c r="F190">
        <v>47</v>
      </c>
    </row>
    <row r="191" spans="1:6" x14ac:dyDescent="0.25">
      <c r="A191" s="1" t="s">
        <v>298</v>
      </c>
      <c r="B191" t="s">
        <v>451</v>
      </c>
      <c r="C191" t="str">
        <f>IF(VLOOKUP(Table30[[#This Row],[bal_nr]],Table2[#All],3,FALSE)=0,"",VLOOKUP(Table30[[#This Row],[bal_nr]],Table2[#All],3,FALSE))</f>
        <v>3.4 Nutssector en industrie</v>
      </c>
      <c r="D191" t="str">
        <f>IF(VLOOKUP(Table30[[#This Row],[bal_nr]],Table2[#All],4,FALSE)=0,"",VLOOKUP(Table30[[#This Row],[bal_nr]],Table2[#All],4,FALSE))</f>
        <v>3.4.6 Chemische producten industrie</v>
      </c>
      <c r="E191" t="str">
        <f>IF(VLOOKUP(Table30[[#This Row],[bal_nr]],Table2[#All],5,FALSE)=0,"",VLOOKUP(Table30[[#This Row],[bal_nr]],Table2[#All],5,FALSE))</f>
        <v/>
      </c>
      <c r="F191">
        <v>46</v>
      </c>
    </row>
    <row r="192" spans="1:6" x14ac:dyDescent="0.25">
      <c r="A192" s="1" t="s">
        <v>294</v>
      </c>
      <c r="B192" t="s">
        <v>447</v>
      </c>
      <c r="C192" t="str">
        <f>IF(VLOOKUP(Table30[[#This Row],[bal_nr]],Table2[#All],3,FALSE)=0,"",VLOOKUP(Table30[[#This Row],[bal_nr]],Table2[#All],3,FALSE))</f>
        <v>3.4 Nutssector en industrie</v>
      </c>
      <c r="D192" t="str">
        <f>IF(VLOOKUP(Table30[[#This Row],[bal_nr]],Table2[#All],4,FALSE)=0,"",VLOOKUP(Table30[[#This Row],[bal_nr]],Table2[#All],4,FALSE))</f>
        <v>3.4.6 Chemische producten industrie</v>
      </c>
      <c r="E192" t="str">
        <f>IF(VLOOKUP(Table30[[#This Row],[bal_nr]],Table2[#All],5,FALSE)=0,"",VLOOKUP(Table30[[#This Row],[bal_nr]],Table2[#All],5,FALSE))</f>
        <v>3.4.6 e het maken van schoonmaakmiddelen of cosmetica</v>
      </c>
      <c r="F192">
        <v>48</v>
      </c>
    </row>
    <row r="193" spans="1:6" x14ac:dyDescent="0.25">
      <c r="A193" s="1" t="s">
        <v>295</v>
      </c>
      <c r="B193" t="s">
        <v>448</v>
      </c>
      <c r="C193" t="str">
        <f>IF(VLOOKUP(Table30[[#This Row],[bal_nr]],Table2[#All],3,FALSE)=0,"",VLOOKUP(Table30[[#This Row],[bal_nr]],Table2[#All],3,FALSE))</f>
        <v>3.4 Nutssector en industrie</v>
      </c>
      <c r="D193" t="str">
        <f>IF(VLOOKUP(Table30[[#This Row],[bal_nr]],Table2[#All],4,FALSE)=0,"",VLOOKUP(Table30[[#This Row],[bal_nr]],Table2[#All],4,FALSE))</f>
        <v>3.4.6 Chemische producten industrie</v>
      </c>
      <c r="E193" t="str">
        <f>IF(VLOOKUP(Table30[[#This Row],[bal_nr]],Table2[#All],5,FALSE)=0,"",VLOOKUP(Table30[[#This Row],[bal_nr]],Table2[#All],5,FALSE))</f>
        <v>3.4.6 e het maken van schoonmaakmiddelen of cosmetica</v>
      </c>
      <c r="F193">
        <v>48</v>
      </c>
    </row>
    <row r="194" spans="1:6" x14ac:dyDescent="0.25">
      <c r="A194" s="1" t="s">
        <v>296</v>
      </c>
      <c r="B194" t="s">
        <v>449</v>
      </c>
      <c r="C194" t="str">
        <f>IF(VLOOKUP(Table30[[#This Row],[bal_nr]],Table2[#All],3,FALSE)=0,"",VLOOKUP(Table30[[#This Row],[bal_nr]],Table2[#All],3,FALSE))</f>
        <v>3.4 Nutssector en industrie</v>
      </c>
      <c r="D194" t="str">
        <f>IF(VLOOKUP(Table30[[#This Row],[bal_nr]],Table2[#All],4,FALSE)=0,"",VLOOKUP(Table30[[#This Row],[bal_nr]],Table2[#All],4,FALSE))</f>
        <v>3.4.6 Chemische producten industrie</v>
      </c>
      <c r="E194" t="str">
        <f>IF(VLOOKUP(Table30[[#This Row],[bal_nr]],Table2[#All],5,FALSE)=0,"",VLOOKUP(Table30[[#This Row],[bal_nr]],Table2[#All],5,FALSE))</f>
        <v>3.4.6 e het maken van schoonmaakmiddelen of cosmetica</v>
      </c>
      <c r="F194">
        <v>48</v>
      </c>
    </row>
    <row r="195" spans="1:6" x14ac:dyDescent="0.25">
      <c r="A195" s="1" t="s">
        <v>254</v>
      </c>
      <c r="B195" t="s">
        <v>410</v>
      </c>
      <c r="C195" t="str">
        <f>IF(VLOOKUP(Table30[[#This Row],[bal_nr]],Table2[#All],3,FALSE)=0,"",VLOOKUP(Table30[[#This Row],[bal_nr]],Table2[#All],3,FALSE))</f>
        <v>3.4 Nutssector en industrie</v>
      </c>
      <c r="D195" t="str">
        <f>IF(VLOOKUP(Table30[[#This Row],[bal_nr]],Table2[#All],4,FALSE)=0,"",VLOOKUP(Table30[[#This Row],[bal_nr]],Table2[#All],4,FALSE))</f>
        <v>3.4.7 Papierindustrie, houtindustrie, textielindustrie en leerindustrie</v>
      </c>
      <c r="E195" t="str">
        <f>IF(VLOOKUP(Table30[[#This Row],[bal_nr]],Table2[#All],5,FALSE)=0,"",VLOOKUP(Table30[[#This Row],[bal_nr]],Table2[#All],5,FALSE))</f>
        <v>3.4.7 a/d het looien van huiden</v>
      </c>
      <c r="F195">
        <v>50</v>
      </c>
    </row>
    <row r="196" spans="1:6" x14ac:dyDescent="0.25">
      <c r="A196" s="1" t="s">
        <v>267</v>
      </c>
      <c r="B196" t="s">
        <v>419</v>
      </c>
      <c r="C196" t="str">
        <f>IF(VLOOKUP(Table30[[#This Row],[bal_nr]],Table2[#All],3,FALSE)=0,"",VLOOKUP(Table30[[#This Row],[bal_nr]],Table2[#All],3,FALSE))</f>
        <v>3.4 Nutssector en industrie</v>
      </c>
      <c r="D196" t="str">
        <f>IF(VLOOKUP(Table30[[#This Row],[bal_nr]],Table2[#All],4,FALSE)=0,"",VLOOKUP(Table30[[#This Row],[bal_nr]],Table2[#All],4,FALSE))</f>
        <v>3.4.7 Papierindustrie, houtindustrie, textielindustrie en leerindustrie</v>
      </c>
      <c r="E196" t="str">
        <f>IF(VLOOKUP(Table30[[#This Row],[bal_nr]],Table2[#All],5,FALSE)=0,"",VLOOKUP(Table30[[#This Row],[bal_nr]],Table2[#All],5,FALSE))</f>
        <v>3.4.7 c het maken van papierstof, papierpulp, papier of karton</v>
      </c>
      <c r="F196">
        <v>51</v>
      </c>
    </row>
    <row r="197" spans="1:6" x14ac:dyDescent="0.25">
      <c r="A197" s="1" t="s">
        <v>268</v>
      </c>
      <c r="B197" t="s">
        <v>420</v>
      </c>
      <c r="C197" t="str">
        <f>IF(VLOOKUP(Table30[[#This Row],[bal_nr]],Table2[#All],3,FALSE)=0,"",VLOOKUP(Table30[[#This Row],[bal_nr]],Table2[#All],3,FALSE))</f>
        <v>3.4 Nutssector en industrie</v>
      </c>
      <c r="D197" t="str">
        <f>IF(VLOOKUP(Table30[[#This Row],[bal_nr]],Table2[#All],4,FALSE)=0,"",VLOOKUP(Table30[[#This Row],[bal_nr]],Table2[#All],4,FALSE))</f>
        <v>3.4.7 Papierindustrie, houtindustrie, textielindustrie en leerindustrie</v>
      </c>
      <c r="E197" t="str">
        <f>IF(VLOOKUP(Table30[[#This Row],[bal_nr]],Table2[#All],5,FALSE)=0,"",VLOOKUP(Table30[[#This Row],[bal_nr]],Table2[#All],5,FALSE))</f>
        <v>3.4.7 c het maken van papierstof, papierpulp, papier of karton</v>
      </c>
      <c r="F197">
        <v>51</v>
      </c>
    </row>
    <row r="198" spans="1:6" x14ac:dyDescent="0.25">
      <c r="A198" s="1" t="s">
        <v>269</v>
      </c>
      <c r="B198" t="s">
        <v>258</v>
      </c>
      <c r="C198" t="str">
        <f>IF(VLOOKUP(Table30[[#This Row],[bal_nr]],Table2[#All],3,FALSE)=0,"",VLOOKUP(Table30[[#This Row],[bal_nr]],Table2[#All],3,FALSE))</f>
        <v>3.4 Nutssector en industrie</v>
      </c>
      <c r="D198" t="str">
        <f>IF(VLOOKUP(Table30[[#This Row],[bal_nr]],Table2[#All],4,FALSE)=0,"",VLOOKUP(Table30[[#This Row],[bal_nr]],Table2[#All],4,FALSE))</f>
        <v>3.4.7 Papierindustrie, houtindustrie, textielindustrie en leerindustrie</v>
      </c>
      <c r="E198" t="str">
        <f>IF(VLOOKUP(Table30[[#This Row],[bal_nr]],Table2[#All],5,FALSE)=0,"",VLOOKUP(Table30[[#This Row],[bal_nr]],Table2[#All],5,FALSE))</f>
        <v>3.4.7 c het maken van papierstof, papierpulp, papier of karton</v>
      </c>
      <c r="F198">
        <v>51</v>
      </c>
    </row>
    <row r="199" spans="1:6" x14ac:dyDescent="0.25">
      <c r="A199" s="1" t="s">
        <v>270</v>
      </c>
      <c r="B199" t="s">
        <v>421</v>
      </c>
      <c r="C199" t="str">
        <f>IF(VLOOKUP(Table30[[#This Row],[bal_nr]],Table2[#All],3,FALSE)=0,"",VLOOKUP(Table30[[#This Row],[bal_nr]],Table2[#All],3,FALSE))</f>
        <v>3.4 Nutssector en industrie</v>
      </c>
      <c r="D199" t="str">
        <f>IF(VLOOKUP(Table30[[#This Row],[bal_nr]],Table2[#All],4,FALSE)=0,"",VLOOKUP(Table30[[#This Row],[bal_nr]],Table2[#All],4,FALSE))</f>
        <v>3.4.7 Papierindustrie, houtindustrie, textielindustrie en leerindustrie</v>
      </c>
      <c r="E199" t="str">
        <f>IF(VLOOKUP(Table30[[#This Row],[bal_nr]],Table2[#All],5,FALSE)=0,"",VLOOKUP(Table30[[#This Row],[bal_nr]],Table2[#All],5,FALSE))</f>
        <v>3.4.7 c het maken van papierstof, papierpulp, papier of karton</v>
      </c>
      <c r="F199">
        <v>51</v>
      </c>
    </row>
    <row r="200" spans="1:6" x14ac:dyDescent="0.25">
      <c r="A200" s="1" t="s">
        <v>241</v>
      </c>
      <c r="B200" t="s">
        <v>398</v>
      </c>
      <c r="C200" t="str">
        <f>IF(VLOOKUP(Table30[[#This Row],[bal_nr]],Table2[#All],3,FALSE)=0,"",VLOOKUP(Table30[[#This Row],[bal_nr]],Table2[#All],3,FALSE))</f>
        <v>3.4 Nutssector en industrie</v>
      </c>
      <c r="D200" t="str">
        <f>IF(VLOOKUP(Table30[[#This Row],[bal_nr]],Table2[#All],4,FALSE)=0,"",VLOOKUP(Table30[[#This Row],[bal_nr]],Table2[#All],4,FALSE))</f>
        <v>3.4.7 Papierindustrie, houtindustrie, textielindustrie en leerindustrie</v>
      </c>
      <c r="E200" t="str">
        <f>IF(VLOOKUP(Table30[[#This Row],[bal_nr]],Table2[#All],5,FALSE)=0,"",VLOOKUP(Table30[[#This Row],[bal_nr]],Table2[#All],5,FALSE))</f>
        <v>3.4.7 g het maken van producten van papier, karton, hout, textiel of leer</v>
      </c>
      <c r="F200">
        <v>52</v>
      </c>
    </row>
    <row r="201" spans="1:6" x14ac:dyDescent="0.25">
      <c r="A201" s="1" t="s">
        <v>243</v>
      </c>
      <c r="B201" t="s">
        <v>400</v>
      </c>
      <c r="C201" t="str">
        <f>IF(VLOOKUP(Table30[[#This Row],[bal_nr]],Table2[#All],3,FALSE)=0,"",VLOOKUP(Table30[[#This Row],[bal_nr]],Table2[#All],3,FALSE))</f>
        <v>3.4 Nutssector en industrie</v>
      </c>
      <c r="D201" t="str">
        <f>IF(VLOOKUP(Table30[[#This Row],[bal_nr]],Table2[#All],4,FALSE)=0,"",VLOOKUP(Table30[[#This Row],[bal_nr]],Table2[#All],4,FALSE))</f>
        <v>3.4.7 Papierindustrie, houtindustrie, textielindustrie en leerindustrie</v>
      </c>
      <c r="E201" t="str">
        <f>IF(VLOOKUP(Table30[[#This Row],[bal_nr]],Table2[#All],5,FALSE)=0,"",VLOOKUP(Table30[[#This Row],[bal_nr]],Table2[#All],5,FALSE))</f>
        <v>3.4.7 g het maken van producten van papier, karton, hout, textiel of leer</v>
      </c>
      <c r="F201">
        <v>52</v>
      </c>
    </row>
    <row r="202" spans="1:6" x14ac:dyDescent="0.25">
      <c r="A202" s="1" t="s">
        <v>244</v>
      </c>
      <c r="B202" t="s">
        <v>237</v>
      </c>
      <c r="C202" t="str">
        <f>IF(VLOOKUP(Table30[[#This Row],[bal_nr]],Table2[#All],3,FALSE)=0,"",VLOOKUP(Table30[[#This Row],[bal_nr]],Table2[#All],3,FALSE))</f>
        <v>3.4 Nutssector en industrie</v>
      </c>
      <c r="D202" t="str">
        <f>IF(VLOOKUP(Table30[[#This Row],[bal_nr]],Table2[#All],4,FALSE)=0,"",VLOOKUP(Table30[[#This Row],[bal_nr]],Table2[#All],4,FALSE))</f>
        <v>3.4.7 Papierindustrie, houtindustrie, textielindustrie en leerindustrie</v>
      </c>
      <c r="E202" t="str">
        <f>IF(VLOOKUP(Table30[[#This Row],[bal_nr]],Table2[#All],5,FALSE)=0,"",VLOOKUP(Table30[[#This Row],[bal_nr]],Table2[#All],5,FALSE))</f>
        <v>3.4.7 g het maken van producten van papier, karton, hout, textiel of leer</v>
      </c>
      <c r="F202">
        <v>52</v>
      </c>
    </row>
    <row r="203" spans="1:6" x14ac:dyDescent="0.25">
      <c r="A203" s="1" t="s">
        <v>245</v>
      </c>
      <c r="B203" t="s">
        <v>401</v>
      </c>
      <c r="C203" t="str">
        <f>IF(VLOOKUP(Table30[[#This Row],[bal_nr]],Table2[#All],3,FALSE)=0,"",VLOOKUP(Table30[[#This Row],[bal_nr]],Table2[#All],3,FALSE))</f>
        <v>3.4 Nutssector en industrie</v>
      </c>
      <c r="D203" t="str">
        <f>IF(VLOOKUP(Table30[[#This Row],[bal_nr]],Table2[#All],4,FALSE)=0,"",VLOOKUP(Table30[[#This Row],[bal_nr]],Table2[#All],4,FALSE))</f>
        <v>3.4.7 Papierindustrie, houtindustrie, textielindustrie en leerindustrie</v>
      </c>
      <c r="E203" t="str">
        <f>IF(VLOOKUP(Table30[[#This Row],[bal_nr]],Table2[#All],5,FALSE)=0,"",VLOOKUP(Table30[[#This Row],[bal_nr]],Table2[#All],5,FALSE))</f>
        <v>3.4.7 g het maken van producten van papier, karton, hout, textiel of leer</v>
      </c>
      <c r="F203">
        <v>52</v>
      </c>
    </row>
    <row r="204" spans="1:6" x14ac:dyDescent="0.25">
      <c r="A204" s="1" t="s">
        <v>246</v>
      </c>
      <c r="B204" t="s">
        <v>402</v>
      </c>
      <c r="C204" t="str">
        <f>IF(VLOOKUP(Table30[[#This Row],[bal_nr]],Table2[#All],3,FALSE)=0,"",VLOOKUP(Table30[[#This Row],[bal_nr]],Table2[#All],3,FALSE))</f>
        <v>3.4 Nutssector en industrie</v>
      </c>
      <c r="D204" t="str">
        <f>IF(VLOOKUP(Table30[[#This Row],[bal_nr]],Table2[#All],4,FALSE)=0,"",VLOOKUP(Table30[[#This Row],[bal_nr]],Table2[#All],4,FALSE))</f>
        <v>3.4.7 Papierindustrie, houtindustrie, textielindustrie en leerindustrie</v>
      </c>
      <c r="E204" t="str">
        <f>IF(VLOOKUP(Table30[[#This Row],[bal_nr]],Table2[#All],5,FALSE)=0,"",VLOOKUP(Table30[[#This Row],[bal_nr]],Table2[#All],5,FALSE))</f>
        <v>3.4.7 g het maken van producten van papier, karton, hout, textiel of leer</v>
      </c>
      <c r="F204">
        <v>52</v>
      </c>
    </row>
    <row r="205" spans="1:6" x14ac:dyDescent="0.25">
      <c r="A205" s="1" t="s">
        <v>247</v>
      </c>
      <c r="B205" t="s">
        <v>403</v>
      </c>
      <c r="C205" t="str">
        <f>IF(VLOOKUP(Table30[[#This Row],[bal_nr]],Table2[#All],3,FALSE)=0,"",VLOOKUP(Table30[[#This Row],[bal_nr]],Table2[#All],3,FALSE))</f>
        <v>3.4 Nutssector en industrie</v>
      </c>
      <c r="D205" t="str">
        <f>IF(VLOOKUP(Table30[[#This Row],[bal_nr]],Table2[#All],4,FALSE)=0,"",VLOOKUP(Table30[[#This Row],[bal_nr]],Table2[#All],4,FALSE))</f>
        <v>3.4.7 Papierindustrie, houtindustrie, textielindustrie en leerindustrie</v>
      </c>
      <c r="E205" t="str">
        <f>IF(VLOOKUP(Table30[[#This Row],[bal_nr]],Table2[#All],5,FALSE)=0,"",VLOOKUP(Table30[[#This Row],[bal_nr]],Table2[#All],5,FALSE))</f>
        <v>3.4.7 g het maken van producten van papier, karton, hout, textiel of leer</v>
      </c>
      <c r="F205">
        <v>52</v>
      </c>
    </row>
    <row r="206" spans="1:6" x14ac:dyDescent="0.25">
      <c r="A206" s="1" t="s">
        <v>248</v>
      </c>
      <c r="B206" t="s">
        <v>404</v>
      </c>
      <c r="C206" t="str">
        <f>IF(VLOOKUP(Table30[[#This Row],[bal_nr]],Table2[#All],3,FALSE)=0,"",VLOOKUP(Table30[[#This Row],[bal_nr]],Table2[#All],3,FALSE))</f>
        <v>3.4 Nutssector en industrie</v>
      </c>
      <c r="D206" t="str">
        <f>IF(VLOOKUP(Table30[[#This Row],[bal_nr]],Table2[#All],4,FALSE)=0,"",VLOOKUP(Table30[[#This Row],[bal_nr]],Table2[#All],4,FALSE))</f>
        <v>3.4.7 Papierindustrie, houtindustrie, textielindustrie en leerindustrie</v>
      </c>
      <c r="E206" t="str">
        <f>IF(VLOOKUP(Table30[[#This Row],[bal_nr]],Table2[#All],5,FALSE)=0,"",VLOOKUP(Table30[[#This Row],[bal_nr]],Table2[#All],5,FALSE))</f>
        <v>3.4.7 g het maken van producten van papier, karton, hout, textiel of leer</v>
      </c>
      <c r="F206">
        <v>52</v>
      </c>
    </row>
    <row r="207" spans="1:6" x14ac:dyDescent="0.25">
      <c r="A207" s="1" t="s">
        <v>249</v>
      </c>
      <c r="B207" t="s">
        <v>405</v>
      </c>
      <c r="C207" t="str">
        <f>IF(VLOOKUP(Table30[[#This Row],[bal_nr]],Table2[#All],3,FALSE)=0,"",VLOOKUP(Table30[[#This Row],[bal_nr]],Table2[#All],3,FALSE))</f>
        <v>3.4 Nutssector en industrie</v>
      </c>
      <c r="D207" t="str">
        <f>IF(VLOOKUP(Table30[[#This Row],[bal_nr]],Table2[#All],4,FALSE)=0,"",VLOOKUP(Table30[[#This Row],[bal_nr]],Table2[#All],4,FALSE))</f>
        <v>3.4.7 Papierindustrie, houtindustrie, textielindustrie en leerindustrie</v>
      </c>
      <c r="E207" t="str">
        <f>IF(VLOOKUP(Table30[[#This Row],[bal_nr]],Table2[#All],5,FALSE)=0,"",VLOOKUP(Table30[[#This Row],[bal_nr]],Table2[#All],5,FALSE))</f>
        <v>3.4.7 g het maken van producten van papier, karton, hout, textiel of leer</v>
      </c>
      <c r="F207">
        <v>52</v>
      </c>
    </row>
    <row r="208" spans="1:6" x14ac:dyDescent="0.25">
      <c r="A208" s="1" t="s">
        <v>250</v>
      </c>
      <c r="B208" t="s">
        <v>406</v>
      </c>
      <c r="C208" t="str">
        <f>IF(VLOOKUP(Table30[[#This Row],[bal_nr]],Table2[#All],3,FALSE)=0,"",VLOOKUP(Table30[[#This Row],[bal_nr]],Table2[#All],3,FALSE))</f>
        <v>3.4 Nutssector en industrie</v>
      </c>
      <c r="D208" t="str">
        <f>IF(VLOOKUP(Table30[[#This Row],[bal_nr]],Table2[#All],4,FALSE)=0,"",VLOOKUP(Table30[[#This Row],[bal_nr]],Table2[#All],4,FALSE))</f>
        <v>3.4.7 Papierindustrie, houtindustrie, textielindustrie en leerindustrie</v>
      </c>
      <c r="E208" t="str">
        <f>IF(VLOOKUP(Table30[[#This Row],[bal_nr]],Table2[#All],5,FALSE)=0,"",VLOOKUP(Table30[[#This Row],[bal_nr]],Table2[#All],5,FALSE))</f>
        <v>3.4.7 g het maken van producten van papier, karton, hout, textiel of leer</v>
      </c>
      <c r="F208">
        <v>52</v>
      </c>
    </row>
    <row r="209" spans="1:6" x14ac:dyDescent="0.25">
      <c r="A209" s="1" t="s">
        <v>251</v>
      </c>
      <c r="B209" t="s">
        <v>407</v>
      </c>
      <c r="C209" t="str">
        <f>IF(VLOOKUP(Table30[[#This Row],[bal_nr]],Table2[#All],3,FALSE)=0,"",VLOOKUP(Table30[[#This Row],[bal_nr]],Table2[#All],3,FALSE))</f>
        <v>3.4 Nutssector en industrie</v>
      </c>
      <c r="D209" t="str">
        <f>IF(VLOOKUP(Table30[[#This Row],[bal_nr]],Table2[#All],4,FALSE)=0,"",VLOOKUP(Table30[[#This Row],[bal_nr]],Table2[#All],4,FALSE))</f>
        <v>3.4.7 Papierindustrie, houtindustrie, textielindustrie en leerindustrie</v>
      </c>
      <c r="E209" t="str">
        <f>IF(VLOOKUP(Table30[[#This Row],[bal_nr]],Table2[#All],5,FALSE)=0,"",VLOOKUP(Table30[[#This Row],[bal_nr]],Table2[#All],5,FALSE))</f>
        <v>3.4.7 g het maken van producten van papier, karton, hout, textiel of leer</v>
      </c>
      <c r="F209">
        <v>52</v>
      </c>
    </row>
    <row r="210" spans="1:6" x14ac:dyDescent="0.25">
      <c r="A210" s="1" t="s">
        <v>252</v>
      </c>
      <c r="B210" t="s">
        <v>408</v>
      </c>
      <c r="C210" t="str">
        <f>IF(VLOOKUP(Table30[[#This Row],[bal_nr]],Table2[#All],3,FALSE)=0,"",VLOOKUP(Table30[[#This Row],[bal_nr]],Table2[#All],3,FALSE))</f>
        <v>3.4 Nutssector en industrie</v>
      </c>
      <c r="D210" t="str">
        <f>IF(VLOOKUP(Table30[[#This Row],[bal_nr]],Table2[#All],4,FALSE)=0,"",VLOOKUP(Table30[[#This Row],[bal_nr]],Table2[#All],4,FALSE))</f>
        <v>3.4.7 Papierindustrie, houtindustrie, textielindustrie en leerindustrie</v>
      </c>
      <c r="E210" t="str">
        <f>IF(VLOOKUP(Table30[[#This Row],[bal_nr]],Table2[#All],5,FALSE)=0,"",VLOOKUP(Table30[[#This Row],[bal_nr]],Table2[#All],5,FALSE))</f>
        <v>3.4.7 g het maken van producten van papier, karton, hout, textiel of leer</v>
      </c>
      <c r="F210">
        <v>52</v>
      </c>
    </row>
    <row r="211" spans="1:6" x14ac:dyDescent="0.25">
      <c r="A211" s="1" t="s">
        <v>253</v>
      </c>
      <c r="B211" t="s">
        <v>409</v>
      </c>
      <c r="C211" t="str">
        <f>IF(VLOOKUP(Table30[[#This Row],[bal_nr]],Table2[#All],3,FALSE)=0,"",VLOOKUP(Table30[[#This Row],[bal_nr]],Table2[#All],3,FALSE))</f>
        <v>3.4 Nutssector en industrie</v>
      </c>
      <c r="D211" t="str">
        <f>IF(VLOOKUP(Table30[[#This Row],[bal_nr]],Table2[#All],4,FALSE)=0,"",VLOOKUP(Table30[[#This Row],[bal_nr]],Table2[#All],4,FALSE))</f>
        <v>3.4.7 Papierindustrie, houtindustrie, textielindustrie en leerindustrie</v>
      </c>
      <c r="E211" t="str">
        <f>IF(VLOOKUP(Table30[[#This Row],[bal_nr]],Table2[#All],5,FALSE)=0,"",VLOOKUP(Table30[[#This Row],[bal_nr]],Table2[#All],5,FALSE))</f>
        <v>3.4.7 g het maken van producten van papier, karton, hout, textiel of leer</v>
      </c>
      <c r="F211">
        <v>52</v>
      </c>
    </row>
    <row r="212" spans="1:6" x14ac:dyDescent="0.25">
      <c r="A212" s="1" t="s">
        <v>255</v>
      </c>
      <c r="B212" t="s">
        <v>411</v>
      </c>
      <c r="C212" t="str">
        <f>IF(VLOOKUP(Table30[[#This Row],[bal_nr]],Table2[#All],3,FALSE)=0,"",VLOOKUP(Table30[[#This Row],[bal_nr]],Table2[#All],3,FALSE))</f>
        <v>3.4 Nutssector en industrie</v>
      </c>
      <c r="D212" t="str">
        <f>IF(VLOOKUP(Table30[[#This Row],[bal_nr]],Table2[#All],4,FALSE)=0,"",VLOOKUP(Table30[[#This Row],[bal_nr]],Table2[#All],4,FALSE))</f>
        <v>3.4.7 Papierindustrie, houtindustrie, textielindustrie en leerindustrie</v>
      </c>
      <c r="E212" t="str">
        <f>IF(VLOOKUP(Table30[[#This Row],[bal_nr]],Table2[#All],5,FALSE)=0,"",VLOOKUP(Table30[[#This Row],[bal_nr]],Table2[#All],5,FALSE))</f>
        <v>3.4.7 g het maken van producten van papier, karton, hout, textiel of leer</v>
      </c>
      <c r="F212">
        <v>52</v>
      </c>
    </row>
    <row r="213" spans="1:6" x14ac:dyDescent="0.25">
      <c r="A213" s="1" t="s">
        <v>256</v>
      </c>
      <c r="B213" t="s">
        <v>412</v>
      </c>
      <c r="C213" t="str">
        <f>IF(VLOOKUP(Table30[[#This Row],[bal_nr]],Table2[#All],3,FALSE)=0,"",VLOOKUP(Table30[[#This Row],[bal_nr]],Table2[#All],3,FALSE))</f>
        <v>3.4 Nutssector en industrie</v>
      </c>
      <c r="D213" t="str">
        <f>IF(VLOOKUP(Table30[[#This Row],[bal_nr]],Table2[#All],4,FALSE)=0,"",VLOOKUP(Table30[[#This Row],[bal_nr]],Table2[#All],4,FALSE))</f>
        <v>3.4.7 Papierindustrie, houtindustrie, textielindustrie en leerindustrie</v>
      </c>
      <c r="E213" t="str">
        <f>IF(VLOOKUP(Table30[[#This Row],[bal_nr]],Table2[#All],5,FALSE)=0,"",VLOOKUP(Table30[[#This Row],[bal_nr]],Table2[#All],5,FALSE))</f>
        <v>3.4.7 g het maken van producten van papier, karton, hout, textiel of leer</v>
      </c>
      <c r="F213">
        <v>52</v>
      </c>
    </row>
    <row r="214" spans="1:6" x14ac:dyDescent="0.25">
      <c r="A214" s="1" t="s">
        <v>260</v>
      </c>
      <c r="B214" t="s">
        <v>413</v>
      </c>
      <c r="C214" t="str">
        <f>IF(VLOOKUP(Table30[[#This Row],[bal_nr]],Table2[#All],3,FALSE)=0,"",VLOOKUP(Table30[[#This Row],[bal_nr]],Table2[#All],3,FALSE))</f>
        <v>3.4 Nutssector en industrie</v>
      </c>
      <c r="D214" t="str">
        <f>IF(VLOOKUP(Table30[[#This Row],[bal_nr]],Table2[#All],4,FALSE)=0,"",VLOOKUP(Table30[[#This Row],[bal_nr]],Table2[#All],4,FALSE))</f>
        <v>3.4.7 Papierindustrie, houtindustrie, textielindustrie en leerindustrie</v>
      </c>
      <c r="E214" t="str">
        <f>IF(VLOOKUP(Table30[[#This Row],[bal_nr]],Table2[#All],5,FALSE)=0,"",VLOOKUP(Table30[[#This Row],[bal_nr]],Table2[#All],5,FALSE))</f>
        <v>3.4.7 g het maken van producten van papier, karton, hout, textiel of leer</v>
      </c>
      <c r="F214">
        <v>52</v>
      </c>
    </row>
    <row r="215" spans="1:6" x14ac:dyDescent="0.25">
      <c r="A215" s="1" t="s">
        <v>262</v>
      </c>
      <c r="B215" t="s">
        <v>415</v>
      </c>
      <c r="C215" t="str">
        <f>IF(VLOOKUP(Table30[[#This Row],[bal_nr]],Table2[#All],3,FALSE)=0,"",VLOOKUP(Table30[[#This Row],[bal_nr]],Table2[#All],3,FALSE))</f>
        <v>3.4 Nutssector en industrie</v>
      </c>
      <c r="D215" t="str">
        <f>IF(VLOOKUP(Table30[[#This Row],[bal_nr]],Table2[#All],4,FALSE)=0,"",VLOOKUP(Table30[[#This Row],[bal_nr]],Table2[#All],4,FALSE))</f>
        <v>3.4.7 Papierindustrie, houtindustrie, textielindustrie en leerindustrie</v>
      </c>
      <c r="E215" t="str">
        <f>IF(VLOOKUP(Table30[[#This Row],[bal_nr]],Table2[#All],5,FALSE)=0,"",VLOOKUP(Table30[[#This Row],[bal_nr]],Table2[#All],5,FALSE))</f>
        <v>3.4.7 g het maken van producten van papier, karton, hout, textiel of leer</v>
      </c>
      <c r="F215">
        <v>52</v>
      </c>
    </row>
    <row r="216" spans="1:6" x14ac:dyDescent="0.25">
      <c r="A216" s="1" t="s">
        <v>263</v>
      </c>
      <c r="B216" t="s">
        <v>257</v>
      </c>
      <c r="C216" t="str">
        <f>IF(VLOOKUP(Table30[[#This Row],[bal_nr]],Table2[#All],3,FALSE)=0,"",VLOOKUP(Table30[[#This Row],[bal_nr]],Table2[#All],3,FALSE))</f>
        <v>3.4 Nutssector en industrie</v>
      </c>
      <c r="D216" t="str">
        <f>IF(VLOOKUP(Table30[[#This Row],[bal_nr]],Table2[#All],4,FALSE)=0,"",VLOOKUP(Table30[[#This Row],[bal_nr]],Table2[#All],4,FALSE))</f>
        <v>3.4.7 Papierindustrie, houtindustrie, textielindustrie en leerindustrie</v>
      </c>
      <c r="E216" t="str">
        <f>IF(VLOOKUP(Table30[[#This Row],[bal_nr]],Table2[#All],5,FALSE)=0,"",VLOOKUP(Table30[[#This Row],[bal_nr]],Table2[#All],5,FALSE))</f>
        <v>3.4.7 g het maken van producten van papier, karton, hout, textiel of leer</v>
      </c>
      <c r="F216">
        <v>52</v>
      </c>
    </row>
    <row r="217" spans="1:6" x14ac:dyDescent="0.25">
      <c r="A217" s="1" t="s">
        <v>264</v>
      </c>
      <c r="B217" t="s">
        <v>416</v>
      </c>
      <c r="C217" t="str">
        <f>IF(VLOOKUP(Table30[[#This Row],[bal_nr]],Table2[#All],3,FALSE)=0,"",VLOOKUP(Table30[[#This Row],[bal_nr]],Table2[#All],3,FALSE))</f>
        <v>3.4 Nutssector en industrie</v>
      </c>
      <c r="D217" t="str">
        <f>IF(VLOOKUP(Table30[[#This Row],[bal_nr]],Table2[#All],4,FALSE)=0,"",VLOOKUP(Table30[[#This Row],[bal_nr]],Table2[#All],4,FALSE))</f>
        <v>3.4.7 Papierindustrie, houtindustrie, textielindustrie en leerindustrie</v>
      </c>
      <c r="E217" t="str">
        <f>IF(VLOOKUP(Table30[[#This Row],[bal_nr]],Table2[#All],5,FALSE)=0,"",VLOOKUP(Table30[[#This Row],[bal_nr]],Table2[#All],5,FALSE))</f>
        <v>3.4.7 g het maken van producten van papier, karton, hout, textiel of leer</v>
      </c>
      <c r="F217">
        <v>52</v>
      </c>
    </row>
    <row r="218" spans="1:6" x14ac:dyDescent="0.25">
      <c r="A218" s="1" t="s">
        <v>265</v>
      </c>
      <c r="B218" t="s">
        <v>417</v>
      </c>
      <c r="C218" t="str">
        <f>IF(VLOOKUP(Table30[[#This Row],[bal_nr]],Table2[#All],3,FALSE)=0,"",VLOOKUP(Table30[[#This Row],[bal_nr]],Table2[#All],3,FALSE))</f>
        <v>3.4 Nutssector en industrie</v>
      </c>
      <c r="D218" t="str">
        <f>IF(VLOOKUP(Table30[[#This Row],[bal_nr]],Table2[#All],4,FALSE)=0,"",VLOOKUP(Table30[[#This Row],[bal_nr]],Table2[#All],4,FALSE))</f>
        <v>3.4.7 Papierindustrie, houtindustrie, textielindustrie en leerindustrie</v>
      </c>
      <c r="E218" t="str">
        <f>IF(VLOOKUP(Table30[[#This Row],[bal_nr]],Table2[#All],5,FALSE)=0,"",VLOOKUP(Table30[[#This Row],[bal_nr]],Table2[#All],5,FALSE))</f>
        <v>3.4.7 g het maken van producten van papier, karton, hout, textiel of leer</v>
      </c>
      <c r="F218">
        <v>52</v>
      </c>
    </row>
    <row r="219" spans="1:6" x14ac:dyDescent="0.25">
      <c r="A219" s="1" t="s">
        <v>266</v>
      </c>
      <c r="B219" t="s">
        <v>418</v>
      </c>
      <c r="C219" t="str">
        <f>IF(VLOOKUP(Table30[[#This Row],[bal_nr]],Table2[#All],3,FALSE)=0,"",VLOOKUP(Table30[[#This Row],[bal_nr]],Table2[#All],3,FALSE))</f>
        <v>3.4 Nutssector en industrie</v>
      </c>
      <c r="D219" t="str">
        <f>IF(VLOOKUP(Table30[[#This Row],[bal_nr]],Table2[#All],4,FALSE)=0,"",VLOOKUP(Table30[[#This Row],[bal_nr]],Table2[#All],4,FALSE))</f>
        <v>3.4.7 Papierindustrie, houtindustrie, textielindustrie en leerindustrie</v>
      </c>
      <c r="E219" t="str">
        <f>IF(VLOOKUP(Table30[[#This Row],[bal_nr]],Table2[#All],5,FALSE)=0,"",VLOOKUP(Table30[[#This Row],[bal_nr]],Table2[#All],5,FALSE))</f>
        <v>3.4.7 g het maken van producten van papier, karton, hout, textiel of leer</v>
      </c>
      <c r="F219">
        <v>52</v>
      </c>
    </row>
    <row r="220" spans="1:6" x14ac:dyDescent="0.25">
      <c r="A220" s="1" t="s">
        <v>267</v>
      </c>
      <c r="B220" t="s">
        <v>419</v>
      </c>
      <c r="C220" t="str">
        <f>IF(VLOOKUP(Table30[[#This Row],[bal_nr]],Table2[#All],3,FALSE)=0,"",VLOOKUP(Table30[[#This Row],[bal_nr]],Table2[#All],3,FALSE))</f>
        <v>3.4 Nutssector en industrie</v>
      </c>
      <c r="D220" t="str">
        <f>IF(VLOOKUP(Table30[[#This Row],[bal_nr]],Table2[#All],4,FALSE)=0,"",VLOOKUP(Table30[[#This Row],[bal_nr]],Table2[#All],4,FALSE))</f>
        <v>3.4.7 Papierindustrie, houtindustrie, textielindustrie en leerindustrie</v>
      </c>
      <c r="E220" t="str">
        <f>IF(VLOOKUP(Table30[[#This Row],[bal_nr]],Table2[#All],5,FALSE)=0,"",VLOOKUP(Table30[[#This Row],[bal_nr]],Table2[#All],5,FALSE))</f>
        <v>3.4.7 g het maken van producten van papier, karton, hout, textiel of leer</v>
      </c>
      <c r="F220">
        <v>52</v>
      </c>
    </row>
    <row r="221" spans="1:6" x14ac:dyDescent="0.25">
      <c r="A221" s="1" t="s">
        <v>271</v>
      </c>
      <c r="B221" t="s">
        <v>422</v>
      </c>
      <c r="C221" t="str">
        <f>IF(VLOOKUP(Table30[[#This Row],[bal_nr]],Table2[#All],3,FALSE)=0,"",VLOOKUP(Table30[[#This Row],[bal_nr]],Table2[#All],3,FALSE))</f>
        <v>3.4 Nutssector en industrie</v>
      </c>
      <c r="D221" t="str">
        <f>IF(VLOOKUP(Table30[[#This Row],[bal_nr]],Table2[#All],4,FALSE)=0,"",VLOOKUP(Table30[[#This Row],[bal_nr]],Table2[#All],4,FALSE))</f>
        <v>3.4.7 Papierindustrie, houtindustrie, textielindustrie en leerindustrie</v>
      </c>
      <c r="E221" t="str">
        <f>IF(VLOOKUP(Table30[[#This Row],[bal_nr]],Table2[#All],5,FALSE)=0,"",VLOOKUP(Table30[[#This Row],[bal_nr]],Table2[#All],5,FALSE))</f>
        <v>3.4.7 g het maken van producten van papier, karton, hout, textiel of leer</v>
      </c>
      <c r="F221">
        <v>52</v>
      </c>
    </row>
    <row r="222" spans="1:6" x14ac:dyDescent="0.25">
      <c r="A222" s="1" t="s">
        <v>272</v>
      </c>
      <c r="B222" t="s">
        <v>423</v>
      </c>
      <c r="C222" t="str">
        <f>IF(VLOOKUP(Table30[[#This Row],[bal_nr]],Table2[#All],3,FALSE)=0,"",VLOOKUP(Table30[[#This Row],[bal_nr]],Table2[#All],3,FALSE))</f>
        <v>3.4 Nutssector en industrie</v>
      </c>
      <c r="D222" t="str">
        <f>IF(VLOOKUP(Table30[[#This Row],[bal_nr]],Table2[#All],4,FALSE)=0,"",VLOOKUP(Table30[[#This Row],[bal_nr]],Table2[#All],4,FALSE))</f>
        <v>3.4.7 Papierindustrie, houtindustrie, textielindustrie en leerindustrie</v>
      </c>
      <c r="E222" t="str">
        <f>IF(VLOOKUP(Table30[[#This Row],[bal_nr]],Table2[#All],5,FALSE)=0,"",VLOOKUP(Table30[[#This Row],[bal_nr]],Table2[#All],5,FALSE))</f>
        <v>3.4.7 g het maken van producten van papier, karton, hout, textiel of leer</v>
      </c>
      <c r="F222">
        <v>52</v>
      </c>
    </row>
    <row r="223" spans="1:6" x14ac:dyDescent="0.25">
      <c r="A223" s="1" t="s">
        <v>273</v>
      </c>
      <c r="B223" t="s">
        <v>424</v>
      </c>
      <c r="C223" t="str">
        <f>IF(VLOOKUP(Table30[[#This Row],[bal_nr]],Table2[#All],3,FALSE)=0,"",VLOOKUP(Table30[[#This Row],[bal_nr]],Table2[#All],3,FALSE))</f>
        <v>3.4 Nutssector en industrie</v>
      </c>
      <c r="D223" t="str">
        <f>IF(VLOOKUP(Table30[[#This Row],[bal_nr]],Table2[#All],4,FALSE)=0,"",VLOOKUP(Table30[[#This Row],[bal_nr]],Table2[#All],4,FALSE))</f>
        <v>3.4.7 Papierindustrie, houtindustrie, textielindustrie en leerindustrie</v>
      </c>
      <c r="E223" t="str">
        <f>IF(VLOOKUP(Table30[[#This Row],[bal_nr]],Table2[#All],5,FALSE)=0,"",VLOOKUP(Table30[[#This Row],[bal_nr]],Table2[#All],5,FALSE))</f>
        <v>3.4.7 g het maken van producten van papier, karton, hout, textiel of leer</v>
      </c>
      <c r="F223">
        <v>52</v>
      </c>
    </row>
    <row r="224" spans="1:6" x14ac:dyDescent="0.25">
      <c r="A224" s="1" t="s">
        <v>274</v>
      </c>
      <c r="B224" t="s">
        <v>425</v>
      </c>
      <c r="C224" t="str">
        <f>IF(VLOOKUP(Table30[[#This Row],[bal_nr]],Table2[#All],3,FALSE)=0,"",VLOOKUP(Table30[[#This Row],[bal_nr]],Table2[#All],3,FALSE))</f>
        <v>3.4 Nutssector en industrie</v>
      </c>
      <c r="D224" t="str">
        <f>IF(VLOOKUP(Table30[[#This Row],[bal_nr]],Table2[#All],4,FALSE)=0,"",VLOOKUP(Table30[[#This Row],[bal_nr]],Table2[#All],4,FALSE))</f>
        <v>3.4.7 Papierindustrie, houtindustrie, textielindustrie en leerindustrie</v>
      </c>
      <c r="E224" t="str">
        <f>IF(VLOOKUP(Table30[[#This Row],[bal_nr]],Table2[#All],5,FALSE)=0,"",VLOOKUP(Table30[[#This Row],[bal_nr]],Table2[#All],5,FALSE))</f>
        <v>3.4.7 g het maken van producten van papier, karton, hout, textiel of leer</v>
      </c>
      <c r="F224">
        <v>52</v>
      </c>
    </row>
    <row r="225" spans="1:6" x14ac:dyDescent="0.25">
      <c r="A225" s="1" t="s">
        <v>275</v>
      </c>
      <c r="B225" t="s">
        <v>426</v>
      </c>
      <c r="C225" t="str">
        <f>IF(VLOOKUP(Table30[[#This Row],[bal_nr]],Table2[#All],3,FALSE)=0,"",VLOOKUP(Table30[[#This Row],[bal_nr]],Table2[#All],3,FALSE))</f>
        <v>3.4 Nutssector en industrie</v>
      </c>
      <c r="D225" t="str">
        <f>IF(VLOOKUP(Table30[[#This Row],[bal_nr]],Table2[#All],4,FALSE)=0,"",VLOOKUP(Table30[[#This Row],[bal_nr]],Table2[#All],4,FALSE))</f>
        <v>3.4.7 Papierindustrie, houtindustrie, textielindustrie en leerindustrie</v>
      </c>
      <c r="E225" t="str">
        <f>IF(VLOOKUP(Table30[[#This Row],[bal_nr]],Table2[#All],5,FALSE)=0,"",VLOOKUP(Table30[[#This Row],[bal_nr]],Table2[#All],5,FALSE))</f>
        <v>3.4.7 g het maken van producten van papier, karton, hout, textiel of leer</v>
      </c>
      <c r="F225">
        <v>52</v>
      </c>
    </row>
    <row r="226" spans="1:6" x14ac:dyDescent="0.25">
      <c r="A226" s="1" t="s">
        <v>144</v>
      </c>
      <c r="B226" t="s">
        <v>565</v>
      </c>
      <c r="C226" t="str">
        <f>IF(VLOOKUP(Table30[[#This Row],[bal_nr]],Table2[#All],3,FALSE)=0,"",VLOOKUP(Table30[[#This Row],[bal_nr]],Table2[#All],3,FALSE))</f>
        <v>3.4 Nutssector en industrie</v>
      </c>
      <c r="D226" t="str">
        <f>IF(VLOOKUP(Table30[[#This Row],[bal_nr]],Table2[#All],4,FALSE)=0,"",VLOOKUP(Table30[[#This Row],[bal_nr]],Table2[#All],4,FALSE))</f>
        <v>3.4.7 Papierindustrie, houtindustrie, textielindustrie en leerindustrie</v>
      </c>
      <c r="E226" t="str">
        <f>IF(VLOOKUP(Table30[[#This Row],[bal_nr]],Table2[#All],5,FALSE)=0,"",VLOOKUP(Table30[[#This Row],[bal_nr]],Table2[#All],5,FALSE))</f>
        <v>3.4.7 g het maken van producten van papier, karton, hout, textiel of leer</v>
      </c>
      <c r="F226">
        <v>52</v>
      </c>
    </row>
    <row r="227" spans="1:6" x14ac:dyDescent="0.25">
      <c r="A227" s="1" t="s">
        <v>145</v>
      </c>
      <c r="B227" t="s">
        <v>566</v>
      </c>
      <c r="C227" t="str">
        <f>IF(VLOOKUP(Table30[[#This Row],[bal_nr]],Table2[#All],3,FALSE)=0,"",VLOOKUP(Table30[[#This Row],[bal_nr]],Table2[#All],3,FALSE))</f>
        <v>3.4 Nutssector en industrie</v>
      </c>
      <c r="D227" t="str">
        <f>IF(VLOOKUP(Table30[[#This Row],[bal_nr]],Table2[#All],4,FALSE)=0,"",VLOOKUP(Table30[[#This Row],[bal_nr]],Table2[#All],4,FALSE))</f>
        <v>3.4.7 Papierindustrie, houtindustrie, textielindustrie en leerindustrie</v>
      </c>
      <c r="E227" t="str">
        <f>IF(VLOOKUP(Table30[[#This Row],[bal_nr]],Table2[#All],5,FALSE)=0,"",VLOOKUP(Table30[[#This Row],[bal_nr]],Table2[#All],5,FALSE))</f>
        <v>3.4.7 g het maken van producten van papier, karton, hout, textiel of leer</v>
      </c>
      <c r="F227">
        <v>52</v>
      </c>
    </row>
    <row r="228" spans="1:6" x14ac:dyDescent="0.25">
      <c r="A228" s="1" t="s">
        <v>146</v>
      </c>
      <c r="B228" t="s">
        <v>567</v>
      </c>
      <c r="C228" t="str">
        <f>IF(VLOOKUP(Table30[[#This Row],[bal_nr]],Table2[#All],3,FALSE)=0,"",VLOOKUP(Table30[[#This Row],[bal_nr]],Table2[#All],3,FALSE))</f>
        <v>3.4 Nutssector en industrie</v>
      </c>
      <c r="D228" t="str">
        <f>IF(VLOOKUP(Table30[[#This Row],[bal_nr]],Table2[#All],4,FALSE)=0,"",VLOOKUP(Table30[[#This Row],[bal_nr]],Table2[#All],4,FALSE))</f>
        <v>3.4.7 Papierindustrie, houtindustrie, textielindustrie en leerindustrie</v>
      </c>
      <c r="E228" t="str">
        <f>IF(VLOOKUP(Table30[[#This Row],[bal_nr]],Table2[#All],5,FALSE)=0,"",VLOOKUP(Table30[[#This Row],[bal_nr]],Table2[#All],5,FALSE))</f>
        <v>3.4.7 g het maken van producten van papier, karton, hout, textiel of leer</v>
      </c>
      <c r="F228">
        <v>52</v>
      </c>
    </row>
    <row r="229" spans="1:6" x14ac:dyDescent="0.25">
      <c r="A229" s="1" t="s">
        <v>147</v>
      </c>
      <c r="B229" t="s">
        <v>568</v>
      </c>
      <c r="C229" t="str">
        <f>IF(VLOOKUP(Table30[[#This Row],[bal_nr]],Table2[#All],3,FALSE)=0,"",VLOOKUP(Table30[[#This Row],[bal_nr]],Table2[#All],3,FALSE))</f>
        <v>3.4 Nutssector en industrie</v>
      </c>
      <c r="D229" t="str">
        <f>IF(VLOOKUP(Table30[[#This Row],[bal_nr]],Table2[#All],4,FALSE)=0,"",VLOOKUP(Table30[[#This Row],[bal_nr]],Table2[#All],4,FALSE))</f>
        <v>3.4.7 Papierindustrie, houtindustrie, textielindustrie en leerindustrie</v>
      </c>
      <c r="E229" t="str">
        <f>IF(VLOOKUP(Table30[[#This Row],[bal_nr]],Table2[#All],5,FALSE)=0,"",VLOOKUP(Table30[[#This Row],[bal_nr]],Table2[#All],5,FALSE))</f>
        <v>3.4.7 g het maken van producten van papier, karton, hout, textiel of leer</v>
      </c>
      <c r="F229">
        <v>52</v>
      </c>
    </row>
    <row r="230" spans="1:6" x14ac:dyDescent="0.25">
      <c r="A230" s="1" t="s">
        <v>261</v>
      </c>
      <c r="B230" t="s">
        <v>414</v>
      </c>
      <c r="C230" t="str">
        <f>IF(VLOOKUP(Table30[[#This Row],[bal_nr]],Table2[#All],3,FALSE)=0,"",VLOOKUP(Table30[[#This Row],[bal_nr]],Table2[#All],3,FALSE))</f>
        <v>3.4 Nutssector en industrie</v>
      </c>
      <c r="D230" t="str">
        <f>IF(VLOOKUP(Table30[[#This Row],[bal_nr]],Table2[#All],4,FALSE)=0,"",VLOOKUP(Table30[[#This Row],[bal_nr]],Table2[#All],4,FALSE))</f>
        <v>3.4.7 Papierindustrie, houtindustrie, textielindustrie en leerindustrie</v>
      </c>
      <c r="E230" t="str">
        <f>IF(VLOOKUP(Table30[[#This Row],[bal_nr]],Table2[#All],5,FALSE)=0,"",VLOOKUP(Table30[[#This Row],[bal_nr]],Table2[#All],5,FALSE))</f>
        <v/>
      </c>
      <c r="F230">
        <v>49</v>
      </c>
    </row>
    <row r="231" spans="1:6" x14ac:dyDescent="0.25">
      <c r="A231" s="1" t="s">
        <v>22</v>
      </c>
      <c r="B231" t="s">
        <v>44</v>
      </c>
      <c r="C231" t="str">
        <f>IF(VLOOKUP(Table30[[#This Row],[bal_nr]],Table2[#All],3,FALSE)=0,"",VLOOKUP(Table30[[#This Row],[bal_nr]],Table2[#All],3,FALSE))</f>
        <v>3.4 Nutssector en industrie</v>
      </c>
      <c r="D231" t="str">
        <f>IF(VLOOKUP(Table30[[#This Row],[bal_nr]],Table2[#All],4,FALSE)=0,"",VLOOKUP(Table30[[#This Row],[bal_nr]],Table2[#All],4,FALSE))</f>
        <v>3.4.8 Voedingsmiddelenindustrie</v>
      </c>
      <c r="E231" t="str">
        <f>IF(VLOOKUP(Table30[[#This Row],[bal_nr]],Table2[#All],5,FALSE)=0,"",VLOOKUP(Table30[[#This Row],[bal_nr]],Table2[#All],5,FALSE))</f>
        <v>3.4.8 a het slachten, het bewerken en verwerken van dierlijke en plantaardige grondstoffen voor het maken van levensmiddelen of voeder of het bewerken of verwerken van alleen melk</v>
      </c>
      <c r="F231">
        <v>54</v>
      </c>
    </row>
    <row r="232" spans="1:6" x14ac:dyDescent="0.25">
      <c r="A232" s="1" t="s">
        <v>49</v>
      </c>
      <c r="B232" t="s">
        <v>371</v>
      </c>
      <c r="C232" t="str">
        <f>IF(VLOOKUP(Table30[[#This Row],[bal_nr]],Table2[#All],3,FALSE)=0,"",VLOOKUP(Table30[[#This Row],[bal_nr]],Table2[#All],3,FALSE))</f>
        <v>3.4 Nutssector en industrie</v>
      </c>
      <c r="D232" t="str">
        <f>IF(VLOOKUP(Table30[[#This Row],[bal_nr]],Table2[#All],4,FALSE)=0,"",VLOOKUP(Table30[[#This Row],[bal_nr]],Table2[#All],4,FALSE))</f>
        <v>3.4.8 Voedingsmiddelenindustrie</v>
      </c>
      <c r="E232" t="str">
        <f>IF(VLOOKUP(Table30[[#This Row],[bal_nr]],Table2[#All],5,FALSE)=0,"",VLOOKUP(Table30[[#This Row],[bal_nr]],Table2[#All],5,FALSE))</f>
        <v>3.4.8 a het slachten, het bewerken en verwerken van dierlijke en plantaardige grondstoffen voor het maken van levensmiddelen of voeder of het bewerken of verwerken van alleen melk</v>
      </c>
      <c r="F232">
        <v>54</v>
      </c>
    </row>
    <row r="233" spans="1:6" x14ac:dyDescent="0.25">
      <c r="A233" s="1" t="s">
        <v>57</v>
      </c>
      <c r="B233" t="s">
        <v>379</v>
      </c>
      <c r="C233" t="str">
        <f>IF(VLOOKUP(Table30[[#This Row],[bal_nr]],Table2[#All],3,FALSE)=0,"",VLOOKUP(Table30[[#This Row],[bal_nr]],Table2[#All],3,FALSE))</f>
        <v>3.4 Nutssector en industrie</v>
      </c>
      <c r="D233" t="str">
        <f>IF(VLOOKUP(Table30[[#This Row],[bal_nr]],Table2[#All],4,FALSE)=0,"",VLOOKUP(Table30[[#This Row],[bal_nr]],Table2[#All],4,FALSE))</f>
        <v>3.4.8 Voedingsmiddelenindustrie</v>
      </c>
      <c r="E233" t="str">
        <f>IF(VLOOKUP(Table30[[#This Row],[bal_nr]],Table2[#All],5,FALSE)=0,"",VLOOKUP(Table30[[#This Row],[bal_nr]],Table2[#All],5,FALSE))</f>
        <v>3.4.8 a het slachten, het bewerken en verwerken van dierlijke en plantaardige grondstoffen voor het maken van levensmiddelen of voeder of het bewerken of verwerken van alleen melk</v>
      </c>
      <c r="F233">
        <v>54</v>
      </c>
    </row>
    <row r="234" spans="1:6" x14ac:dyDescent="0.25">
      <c r="A234" s="1" t="s">
        <v>62</v>
      </c>
      <c r="B234" t="s">
        <v>384</v>
      </c>
      <c r="C234" t="str">
        <f>IF(VLOOKUP(Table30[[#This Row],[bal_nr]],Table2[#All],3,FALSE)=0,"",VLOOKUP(Table30[[#This Row],[bal_nr]],Table2[#All],3,FALSE))</f>
        <v>3.4 Nutssector en industrie</v>
      </c>
      <c r="D234" t="str">
        <f>IF(VLOOKUP(Table30[[#This Row],[bal_nr]],Table2[#All],4,FALSE)=0,"",VLOOKUP(Table30[[#This Row],[bal_nr]],Table2[#All],4,FALSE))</f>
        <v>3.4.8 Voedingsmiddelenindustrie</v>
      </c>
      <c r="E234" t="str">
        <f>IF(VLOOKUP(Table30[[#This Row],[bal_nr]],Table2[#All],5,FALSE)=0,"",VLOOKUP(Table30[[#This Row],[bal_nr]],Table2[#All],5,FALSE))</f>
        <v>3.4.8 a het slachten, het bewerken en verwerken van dierlijke en plantaardige grondstoffen voor het maken van levensmiddelen of voeder of het bewerken of verwerken van alleen melk</v>
      </c>
      <c r="F234">
        <v>54</v>
      </c>
    </row>
    <row r="235" spans="1:6" x14ac:dyDescent="0.25">
      <c r="A235" s="1" t="s">
        <v>228</v>
      </c>
      <c r="B235" t="s">
        <v>386</v>
      </c>
      <c r="C235" t="str">
        <f>IF(VLOOKUP(Table30[[#This Row],[bal_nr]],Table2[#All],3,FALSE)=0,"",VLOOKUP(Table30[[#This Row],[bal_nr]],Table2[#All],3,FALSE))</f>
        <v>3.4 Nutssector en industrie</v>
      </c>
      <c r="D235" t="str">
        <f>IF(VLOOKUP(Table30[[#This Row],[bal_nr]],Table2[#All],4,FALSE)=0,"",VLOOKUP(Table30[[#This Row],[bal_nr]],Table2[#All],4,FALSE))</f>
        <v>3.4.8 Voedingsmiddelenindustrie</v>
      </c>
      <c r="E235" t="str">
        <f>IF(VLOOKUP(Table30[[#This Row],[bal_nr]],Table2[#All],5,FALSE)=0,"",VLOOKUP(Table30[[#This Row],[bal_nr]],Table2[#All],5,FALSE))</f>
        <v>3.4.8 a het slachten, het bewerken en verwerken van dierlijke en plantaardige grondstoffen voor het maken van levensmiddelen of voeder of het bewerken of verwerken van alleen melk</v>
      </c>
      <c r="F235">
        <v>54</v>
      </c>
    </row>
    <row r="236" spans="1:6" x14ac:dyDescent="0.25">
      <c r="A236" s="1" t="s">
        <v>234</v>
      </c>
      <c r="B236" t="s">
        <v>392</v>
      </c>
      <c r="C236" t="str">
        <f>IF(VLOOKUP(Table30[[#This Row],[bal_nr]],Table2[#All],3,FALSE)=0,"",VLOOKUP(Table30[[#This Row],[bal_nr]],Table2[#All],3,FALSE))</f>
        <v>3.4 Nutssector en industrie</v>
      </c>
      <c r="D236" t="str">
        <f>IF(VLOOKUP(Table30[[#This Row],[bal_nr]],Table2[#All],4,FALSE)=0,"",VLOOKUP(Table30[[#This Row],[bal_nr]],Table2[#All],4,FALSE))</f>
        <v>3.4.8 Voedingsmiddelenindustrie</v>
      </c>
      <c r="E236" t="str">
        <f>IF(VLOOKUP(Table30[[#This Row],[bal_nr]],Table2[#All],5,FALSE)=0,"",VLOOKUP(Table30[[#This Row],[bal_nr]],Table2[#All],5,FALSE))</f>
        <v>3.4.8 a het slachten, het bewerken en verwerken van dierlijke en plantaardige grondstoffen voor het maken van levensmiddelen of voeder of het bewerken of verwerken van alleen melk</v>
      </c>
      <c r="F236">
        <v>54</v>
      </c>
    </row>
    <row r="237" spans="1:6" x14ac:dyDescent="0.25">
      <c r="A237" s="1" t="s">
        <v>236</v>
      </c>
      <c r="B237" t="s">
        <v>394</v>
      </c>
      <c r="C237" t="str">
        <f>IF(VLOOKUP(Table30[[#This Row],[bal_nr]],Table2[#All],3,FALSE)=0,"",VLOOKUP(Table30[[#This Row],[bal_nr]],Table2[#All],3,FALSE))</f>
        <v>3.4 Nutssector en industrie</v>
      </c>
      <c r="D237" t="str">
        <f>IF(VLOOKUP(Table30[[#This Row],[bal_nr]],Table2[#All],4,FALSE)=0,"",VLOOKUP(Table30[[#This Row],[bal_nr]],Table2[#All],4,FALSE))</f>
        <v>3.4.8 Voedingsmiddelenindustrie</v>
      </c>
      <c r="E237" t="str">
        <f>IF(VLOOKUP(Table30[[#This Row],[bal_nr]],Table2[#All],5,FALSE)=0,"",VLOOKUP(Table30[[#This Row],[bal_nr]],Table2[#All],5,FALSE))</f>
        <v>3.4.8 a het slachten, het bewerken en verwerken van dierlijke en plantaardige grondstoffen voor het maken van levensmiddelen of voeder of het bewerken of verwerken van alleen melk</v>
      </c>
      <c r="F237">
        <v>54</v>
      </c>
    </row>
    <row r="238" spans="1:6" x14ac:dyDescent="0.25">
      <c r="A238" s="1" t="s">
        <v>238</v>
      </c>
      <c r="B238" t="s">
        <v>395</v>
      </c>
      <c r="C238" t="str">
        <f>IF(VLOOKUP(Table30[[#This Row],[bal_nr]],Table2[#All],3,FALSE)=0,"",VLOOKUP(Table30[[#This Row],[bal_nr]],Table2[#All],3,FALSE))</f>
        <v>3.4 Nutssector en industrie</v>
      </c>
      <c r="D238" t="str">
        <f>IF(VLOOKUP(Table30[[#This Row],[bal_nr]],Table2[#All],4,FALSE)=0,"",VLOOKUP(Table30[[#This Row],[bal_nr]],Table2[#All],4,FALSE))</f>
        <v>3.4.8 Voedingsmiddelenindustrie</v>
      </c>
      <c r="E238" t="str">
        <f>IF(VLOOKUP(Table30[[#This Row],[bal_nr]],Table2[#All],5,FALSE)=0,"",VLOOKUP(Table30[[#This Row],[bal_nr]],Table2[#All],5,FALSE))</f>
        <v>3.4.8 a het slachten, het bewerken en verwerken van dierlijke en plantaardige grondstoffen voor het maken van levensmiddelen of voeder of het bewerken of verwerken van alleen melk</v>
      </c>
      <c r="F238">
        <v>54</v>
      </c>
    </row>
    <row r="239" spans="1:6" x14ac:dyDescent="0.25">
      <c r="A239" s="1" t="s">
        <v>240</v>
      </c>
      <c r="B239" t="s">
        <v>397</v>
      </c>
      <c r="C239" t="str">
        <f>IF(VLOOKUP(Table30[[#This Row],[bal_nr]],Table2[#All],3,FALSE)=0,"",VLOOKUP(Table30[[#This Row],[bal_nr]],Table2[#All],3,FALSE))</f>
        <v>3.4 Nutssector en industrie</v>
      </c>
      <c r="D239" t="str">
        <f>IF(VLOOKUP(Table30[[#This Row],[bal_nr]],Table2[#All],4,FALSE)=0,"",VLOOKUP(Table30[[#This Row],[bal_nr]],Table2[#All],4,FALSE))</f>
        <v>3.4.8 Voedingsmiddelenindustrie</v>
      </c>
      <c r="E239" t="str">
        <f>IF(VLOOKUP(Table30[[#This Row],[bal_nr]],Table2[#All],5,FALSE)=0,"",VLOOKUP(Table30[[#This Row],[bal_nr]],Table2[#All],5,FALSE))</f>
        <v>3.4.8 a het slachten, het bewerken en verwerken van dierlijke en plantaardige grondstoffen voor het maken van levensmiddelen of voeder of het bewerken of verwerken van alleen melk</v>
      </c>
      <c r="F239">
        <v>54</v>
      </c>
    </row>
    <row r="240" spans="1:6" x14ac:dyDescent="0.25">
      <c r="A240" s="1" t="s">
        <v>22</v>
      </c>
      <c r="B240" t="s">
        <v>44</v>
      </c>
      <c r="C240" t="str">
        <f>IF(VLOOKUP(Table30[[#This Row],[bal_nr]],Table2[#All],3,FALSE)=0,"",VLOOKUP(Table30[[#This Row],[bal_nr]],Table2[#All],3,FALSE))</f>
        <v>3.4 Nutssector en industrie</v>
      </c>
      <c r="D240" t="str">
        <f>IF(VLOOKUP(Table30[[#This Row],[bal_nr]],Table2[#All],4,FALSE)=0,"",VLOOKUP(Table30[[#This Row],[bal_nr]],Table2[#All],4,FALSE))</f>
        <v>3.4.8 Voedingsmiddelenindustrie</v>
      </c>
      <c r="E240" t="str">
        <f>IF(VLOOKUP(Table30[[#This Row],[bal_nr]],Table2[#All],5,FALSE)=0,"",VLOOKUP(Table30[[#This Row],[bal_nr]],Table2[#All],5,FALSE))</f>
        <v>3.4.8 b het slachten van meer dan 10.000 kg levend gewicht aan dieren per week</v>
      </c>
      <c r="F240">
        <v>55</v>
      </c>
    </row>
    <row r="241" spans="1:6" x14ac:dyDescent="0.25">
      <c r="A241" s="1" t="s">
        <v>53</v>
      </c>
      <c r="B241" t="s">
        <v>375</v>
      </c>
      <c r="C241" t="str">
        <f>IF(VLOOKUP(Table30[[#This Row],[bal_nr]],Table2[#All],3,FALSE)=0,"",VLOOKUP(Table30[[#This Row],[bal_nr]],Table2[#All],3,FALSE))</f>
        <v>3.4 Nutssector en industrie</v>
      </c>
      <c r="D241" t="str">
        <f>IF(VLOOKUP(Table30[[#This Row],[bal_nr]],Table2[#All],4,FALSE)=0,"",VLOOKUP(Table30[[#This Row],[bal_nr]],Table2[#All],4,FALSE))</f>
        <v>3.4.8 Voedingsmiddelenindustrie</v>
      </c>
      <c r="E241" t="str">
        <f>IF(VLOOKUP(Table30[[#This Row],[bal_nr]],Table2[#All],5,FALSE)=0,"",VLOOKUP(Table30[[#This Row],[bal_nr]],Table2[#All],5,FALSE))</f>
        <v>3.4.8 c het maken of bewerken van dierlijke of plantaardige oliën of vetten</v>
      </c>
      <c r="F241">
        <v>56</v>
      </c>
    </row>
    <row r="242" spans="1:6" x14ac:dyDescent="0.25">
      <c r="A242" s="1" t="s">
        <v>54</v>
      </c>
      <c r="B242" t="s">
        <v>376</v>
      </c>
      <c r="C242" t="str">
        <f>IF(VLOOKUP(Table30[[#This Row],[bal_nr]],Table2[#All],3,FALSE)=0,"",VLOOKUP(Table30[[#This Row],[bal_nr]],Table2[#All],3,FALSE))</f>
        <v>3.4 Nutssector en industrie</v>
      </c>
      <c r="D242" t="str">
        <f>IF(VLOOKUP(Table30[[#This Row],[bal_nr]],Table2[#All],4,FALSE)=0,"",VLOOKUP(Table30[[#This Row],[bal_nr]],Table2[#All],4,FALSE))</f>
        <v>3.4.8 Voedingsmiddelenindustrie</v>
      </c>
      <c r="E242" t="str">
        <f>IF(VLOOKUP(Table30[[#This Row],[bal_nr]],Table2[#All],5,FALSE)=0,"",VLOOKUP(Table30[[#This Row],[bal_nr]],Table2[#All],5,FALSE))</f>
        <v>3.4.8 c het maken of bewerken van dierlijke of plantaardige oliën of vetten</v>
      </c>
      <c r="F242">
        <v>56</v>
      </c>
    </row>
    <row r="243" spans="1:6" x14ac:dyDescent="0.25">
      <c r="A243" s="1" t="s">
        <v>231</v>
      </c>
      <c r="B243" t="s">
        <v>389</v>
      </c>
      <c r="C243" t="str">
        <f>IF(VLOOKUP(Table30[[#This Row],[bal_nr]],Table2[#All],3,FALSE)=0,"",VLOOKUP(Table30[[#This Row],[bal_nr]],Table2[#All],3,FALSE))</f>
        <v>3.4 Nutssector en industrie</v>
      </c>
      <c r="D243" t="str">
        <f>IF(VLOOKUP(Table30[[#This Row],[bal_nr]],Table2[#All],4,FALSE)=0,"",VLOOKUP(Table30[[#This Row],[bal_nr]],Table2[#All],4,FALSE))</f>
        <v>3.4.8 Voedingsmiddelenindustrie</v>
      </c>
      <c r="E243" t="str">
        <f>IF(VLOOKUP(Table30[[#This Row],[bal_nr]],Table2[#All],5,FALSE)=0,"",VLOOKUP(Table30[[#This Row],[bal_nr]],Table2[#All],5,FALSE))</f>
        <v>3.4.8 d het maken of bewerken van voedingsmiddelen voor landbouwhuisdieren</v>
      </c>
      <c r="F243">
        <v>57</v>
      </c>
    </row>
    <row r="244" spans="1:6" x14ac:dyDescent="0.25">
      <c r="A244" s="1" t="s">
        <v>232</v>
      </c>
      <c r="B244" t="s">
        <v>390</v>
      </c>
      <c r="C244" t="str">
        <f>IF(VLOOKUP(Table30[[#This Row],[bal_nr]],Table2[#All],3,FALSE)=0,"",VLOOKUP(Table30[[#This Row],[bal_nr]],Table2[#All],3,FALSE))</f>
        <v>3.4 Nutssector en industrie</v>
      </c>
      <c r="D244" t="str">
        <f>IF(VLOOKUP(Table30[[#This Row],[bal_nr]],Table2[#All],4,FALSE)=0,"",VLOOKUP(Table30[[#This Row],[bal_nr]],Table2[#All],4,FALSE))</f>
        <v>3.4.8 Voedingsmiddelenindustrie</v>
      </c>
      <c r="E244" t="str">
        <f>IF(VLOOKUP(Table30[[#This Row],[bal_nr]],Table2[#All],5,FALSE)=0,"",VLOOKUP(Table30[[#This Row],[bal_nr]],Table2[#All],5,FALSE))</f>
        <v>3.4.8 d het maken of bewerken van voedingsmiddelen voor landbouwhuisdieren</v>
      </c>
      <c r="F244">
        <v>57</v>
      </c>
    </row>
    <row r="245" spans="1:6" x14ac:dyDescent="0.25">
      <c r="A245" s="1" t="s">
        <v>233</v>
      </c>
      <c r="B245" t="s">
        <v>391</v>
      </c>
      <c r="C245" t="str">
        <f>IF(VLOOKUP(Table30[[#This Row],[bal_nr]],Table2[#All],3,FALSE)=0,"",VLOOKUP(Table30[[#This Row],[bal_nr]],Table2[#All],3,FALSE))</f>
        <v>3.4 Nutssector en industrie</v>
      </c>
      <c r="D245" t="str">
        <f>IF(VLOOKUP(Table30[[#This Row],[bal_nr]],Table2[#All],4,FALSE)=0,"",VLOOKUP(Table30[[#This Row],[bal_nr]],Table2[#All],4,FALSE))</f>
        <v>3.4.8 Voedingsmiddelenindustrie</v>
      </c>
      <c r="E245" t="str">
        <f>IF(VLOOKUP(Table30[[#This Row],[bal_nr]],Table2[#All],5,FALSE)=0,"",VLOOKUP(Table30[[#This Row],[bal_nr]],Table2[#All],5,FALSE))</f>
        <v>3.4.8 d het maken of bewerken van voedingsmiddelen voor landbouwhuisdieren</v>
      </c>
      <c r="F245">
        <v>57</v>
      </c>
    </row>
    <row r="246" spans="1:6" x14ac:dyDescent="0.25">
      <c r="A246" s="1" t="s">
        <v>22</v>
      </c>
      <c r="B246" t="s">
        <v>44</v>
      </c>
      <c r="C246" t="str">
        <f>IF(VLOOKUP(Table30[[#This Row],[bal_nr]],Table2[#All],3,FALSE)=0,"",VLOOKUP(Table30[[#This Row],[bal_nr]],Table2[#All],3,FALSE))</f>
        <v>3.4 Nutssector en industrie</v>
      </c>
      <c r="D246" t="str">
        <f>IF(VLOOKUP(Table30[[#This Row],[bal_nr]],Table2[#All],4,FALSE)=0,"",VLOOKUP(Table30[[#This Row],[bal_nr]],Table2[#All],4,FALSE))</f>
        <v>3.4.8 Voedingsmiddelenindustrie</v>
      </c>
      <c r="E246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46">
        <v>58</v>
      </c>
    </row>
    <row r="247" spans="1:6" x14ac:dyDescent="0.25">
      <c r="A247" s="1" t="s">
        <v>49</v>
      </c>
      <c r="B247" t="s">
        <v>371</v>
      </c>
      <c r="C247" t="str">
        <f>IF(VLOOKUP(Table30[[#This Row],[bal_nr]],Table2[#All],3,FALSE)=0,"",VLOOKUP(Table30[[#This Row],[bal_nr]],Table2[#All],3,FALSE))</f>
        <v>3.4 Nutssector en industrie</v>
      </c>
      <c r="D247" t="str">
        <f>IF(VLOOKUP(Table30[[#This Row],[bal_nr]],Table2[#All],4,FALSE)=0,"",VLOOKUP(Table30[[#This Row],[bal_nr]],Table2[#All],4,FALSE))</f>
        <v>3.4.8 Voedingsmiddelenindustrie</v>
      </c>
      <c r="E247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47">
        <v>58</v>
      </c>
    </row>
    <row r="248" spans="1:6" x14ac:dyDescent="0.25">
      <c r="A248" s="1" t="s">
        <v>57</v>
      </c>
      <c r="B248" t="s">
        <v>379</v>
      </c>
      <c r="C248" t="str">
        <f>IF(VLOOKUP(Table30[[#This Row],[bal_nr]],Table2[#All],3,FALSE)=0,"",VLOOKUP(Table30[[#This Row],[bal_nr]],Table2[#All],3,FALSE))</f>
        <v>3.4 Nutssector en industrie</v>
      </c>
      <c r="D248" t="str">
        <f>IF(VLOOKUP(Table30[[#This Row],[bal_nr]],Table2[#All],4,FALSE)=0,"",VLOOKUP(Table30[[#This Row],[bal_nr]],Table2[#All],4,FALSE))</f>
        <v>3.4.8 Voedingsmiddelenindustrie</v>
      </c>
      <c r="E248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48">
        <v>58</v>
      </c>
    </row>
    <row r="249" spans="1:6" x14ac:dyDescent="0.25">
      <c r="A249" s="1" t="s">
        <v>62</v>
      </c>
      <c r="B249" t="s">
        <v>384</v>
      </c>
      <c r="C249" t="str">
        <f>IF(VLOOKUP(Table30[[#This Row],[bal_nr]],Table2[#All],3,FALSE)=0,"",VLOOKUP(Table30[[#This Row],[bal_nr]],Table2[#All],3,FALSE))</f>
        <v>3.4 Nutssector en industrie</v>
      </c>
      <c r="D249" t="str">
        <f>IF(VLOOKUP(Table30[[#This Row],[bal_nr]],Table2[#All],4,FALSE)=0,"",VLOOKUP(Table30[[#This Row],[bal_nr]],Table2[#All],4,FALSE))</f>
        <v>3.4.8 Voedingsmiddelenindustrie</v>
      </c>
      <c r="E249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49">
        <v>58</v>
      </c>
    </row>
    <row r="250" spans="1:6" x14ac:dyDescent="0.25">
      <c r="A250" s="1" t="s">
        <v>228</v>
      </c>
      <c r="B250" t="s">
        <v>386</v>
      </c>
      <c r="C250" t="str">
        <f>IF(VLOOKUP(Table30[[#This Row],[bal_nr]],Table2[#All],3,FALSE)=0,"",VLOOKUP(Table30[[#This Row],[bal_nr]],Table2[#All],3,FALSE))</f>
        <v>3.4 Nutssector en industrie</v>
      </c>
      <c r="D250" t="str">
        <f>IF(VLOOKUP(Table30[[#This Row],[bal_nr]],Table2[#All],4,FALSE)=0,"",VLOOKUP(Table30[[#This Row],[bal_nr]],Table2[#All],4,FALSE))</f>
        <v>3.4.8 Voedingsmiddelenindustrie</v>
      </c>
      <c r="E250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50">
        <v>58</v>
      </c>
    </row>
    <row r="251" spans="1:6" x14ac:dyDescent="0.25">
      <c r="A251" s="1" t="s">
        <v>231</v>
      </c>
      <c r="B251" t="s">
        <v>389</v>
      </c>
      <c r="C251" t="str">
        <f>IF(VLOOKUP(Table30[[#This Row],[bal_nr]],Table2[#All],3,FALSE)=0,"",VLOOKUP(Table30[[#This Row],[bal_nr]],Table2[#All],3,FALSE))</f>
        <v>3.4 Nutssector en industrie</v>
      </c>
      <c r="D251" t="str">
        <f>IF(VLOOKUP(Table30[[#This Row],[bal_nr]],Table2[#All],4,FALSE)=0,"",VLOOKUP(Table30[[#This Row],[bal_nr]],Table2[#All],4,FALSE))</f>
        <v>3.4.8 Voedingsmiddelenindustrie</v>
      </c>
      <c r="E251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51">
        <v>58</v>
      </c>
    </row>
    <row r="252" spans="1:6" x14ac:dyDescent="0.25">
      <c r="A252" s="1" t="s">
        <v>234</v>
      </c>
      <c r="B252" t="s">
        <v>392</v>
      </c>
      <c r="C252" t="str">
        <f>IF(VLOOKUP(Table30[[#This Row],[bal_nr]],Table2[#All],3,FALSE)=0,"",VLOOKUP(Table30[[#This Row],[bal_nr]],Table2[#All],3,FALSE))</f>
        <v>3.4 Nutssector en industrie</v>
      </c>
      <c r="D252" t="str">
        <f>IF(VLOOKUP(Table30[[#This Row],[bal_nr]],Table2[#All],4,FALSE)=0,"",VLOOKUP(Table30[[#This Row],[bal_nr]],Table2[#All],4,FALSE))</f>
        <v>3.4.8 Voedingsmiddelenindustrie</v>
      </c>
      <c r="E252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52">
        <v>58</v>
      </c>
    </row>
    <row r="253" spans="1:6" x14ac:dyDescent="0.25">
      <c r="A253" s="1" t="s">
        <v>236</v>
      </c>
      <c r="B253" t="s">
        <v>394</v>
      </c>
      <c r="C253" t="str">
        <f>IF(VLOOKUP(Table30[[#This Row],[bal_nr]],Table2[#All],3,FALSE)=0,"",VLOOKUP(Table30[[#This Row],[bal_nr]],Table2[#All],3,FALSE))</f>
        <v>3.4 Nutssector en industrie</v>
      </c>
      <c r="D253" t="str">
        <f>IF(VLOOKUP(Table30[[#This Row],[bal_nr]],Table2[#All],4,FALSE)=0,"",VLOOKUP(Table30[[#This Row],[bal_nr]],Table2[#All],4,FALSE))</f>
        <v>3.4.8 Voedingsmiddelenindustrie</v>
      </c>
      <c r="E253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53">
        <v>58</v>
      </c>
    </row>
    <row r="254" spans="1:6" x14ac:dyDescent="0.25">
      <c r="A254" s="1" t="s">
        <v>238</v>
      </c>
      <c r="B254" t="s">
        <v>395</v>
      </c>
      <c r="C254" t="str">
        <f>IF(VLOOKUP(Table30[[#This Row],[bal_nr]],Table2[#All],3,FALSE)=0,"",VLOOKUP(Table30[[#This Row],[bal_nr]],Table2[#All],3,FALSE))</f>
        <v>3.4 Nutssector en industrie</v>
      </c>
      <c r="D254" t="str">
        <f>IF(VLOOKUP(Table30[[#This Row],[bal_nr]],Table2[#All],4,FALSE)=0,"",VLOOKUP(Table30[[#This Row],[bal_nr]],Table2[#All],4,FALSE))</f>
        <v>3.4.8 Voedingsmiddelenindustrie</v>
      </c>
      <c r="E254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54">
        <v>58</v>
      </c>
    </row>
    <row r="255" spans="1:6" x14ac:dyDescent="0.25">
      <c r="A255" s="1" t="s">
        <v>240</v>
      </c>
      <c r="B255" t="s">
        <v>397</v>
      </c>
      <c r="C255" t="str">
        <f>IF(VLOOKUP(Table30[[#This Row],[bal_nr]],Table2[#All],3,FALSE)=0,"",VLOOKUP(Table30[[#This Row],[bal_nr]],Table2[#All],3,FALSE))</f>
        <v>3.4 Nutssector en industrie</v>
      </c>
      <c r="D255" t="str">
        <f>IF(VLOOKUP(Table30[[#This Row],[bal_nr]],Table2[#All],4,FALSE)=0,"",VLOOKUP(Table30[[#This Row],[bal_nr]],Table2[#All],4,FALSE))</f>
        <v>3.4.8 Voedingsmiddelenindustrie</v>
      </c>
      <c r="E255" t="str">
        <f>IF(VLOOKUP(Table30[[#This Row],[bal_nr]],Table2[#All],5,FALSE)=0,"",VLOOKUP(Table30[[#This Row],[bal_nr]],Table2[#All],5,FALSE))</f>
        <v>3.4.8 e het met een stookinstallatie maken van: 1°. zetmeel of suiker, 2°. vismeel of visolie, of 3°. levensmiddelen of voeder.</v>
      </c>
      <c r="F255">
        <v>58</v>
      </c>
    </row>
    <row r="256" spans="1:6" x14ac:dyDescent="0.25">
      <c r="A256" s="1" t="s">
        <v>21</v>
      </c>
      <c r="B256" t="s">
        <v>43</v>
      </c>
      <c r="C256" t="str">
        <f>IF(VLOOKUP(Table30[[#This Row],[bal_nr]],Table2[#All],3,FALSE)=0,"",VLOOKUP(Table30[[#This Row],[bal_nr]],Table2[#All],3,FALSE))</f>
        <v>3.4 Nutssector en industrie</v>
      </c>
      <c r="D256" t="str">
        <f>IF(VLOOKUP(Table30[[#This Row],[bal_nr]],Table2[#All],4,FALSE)=0,"",VLOOKUP(Table30[[#This Row],[bal_nr]],Table2[#All],4,FALSE))</f>
        <v>3.4.8 Voedingsmiddelenindustrie</v>
      </c>
      <c r="E256" t="str">
        <f>IF(VLOOKUP(Table30[[#This Row],[bal_nr]],Table2[#All],5,FALSE)=0,"",VLOOKUP(Table30[[#This Row],[bal_nr]],Table2[#All],5,FALSE))</f>
        <v/>
      </c>
      <c r="F256">
        <v>53</v>
      </c>
    </row>
    <row r="257" spans="1:6" x14ac:dyDescent="0.25">
      <c r="A257" s="1" t="s">
        <v>45</v>
      </c>
      <c r="B257" t="s">
        <v>367</v>
      </c>
      <c r="C257" t="str">
        <f>IF(VLOOKUP(Table30[[#This Row],[bal_nr]],Table2[#All],3,FALSE)=0,"",VLOOKUP(Table30[[#This Row],[bal_nr]],Table2[#All],3,FALSE))</f>
        <v>3.4 Nutssector en industrie</v>
      </c>
      <c r="D257" t="str">
        <f>IF(VLOOKUP(Table30[[#This Row],[bal_nr]],Table2[#All],4,FALSE)=0,"",VLOOKUP(Table30[[#This Row],[bal_nr]],Table2[#All],4,FALSE))</f>
        <v>3.4.8 Voedingsmiddelenindustrie</v>
      </c>
      <c r="E257" t="str">
        <f>IF(VLOOKUP(Table30[[#This Row],[bal_nr]],Table2[#All],5,FALSE)=0,"",VLOOKUP(Table30[[#This Row],[bal_nr]],Table2[#All],5,FALSE))</f>
        <v/>
      </c>
      <c r="F257">
        <v>53</v>
      </c>
    </row>
    <row r="258" spans="1:6" x14ac:dyDescent="0.25">
      <c r="A258" s="1" t="s">
        <v>46</v>
      </c>
      <c r="B258" t="s">
        <v>368</v>
      </c>
      <c r="C258" t="str">
        <f>IF(VLOOKUP(Table30[[#This Row],[bal_nr]],Table2[#All],3,FALSE)=0,"",VLOOKUP(Table30[[#This Row],[bal_nr]],Table2[#All],3,FALSE))</f>
        <v>3.4 Nutssector en industrie</v>
      </c>
      <c r="D258" t="str">
        <f>IF(VLOOKUP(Table30[[#This Row],[bal_nr]],Table2[#All],4,FALSE)=0,"",VLOOKUP(Table30[[#This Row],[bal_nr]],Table2[#All],4,FALSE))</f>
        <v>3.4.8 Voedingsmiddelenindustrie</v>
      </c>
      <c r="E258" t="str">
        <f>IF(VLOOKUP(Table30[[#This Row],[bal_nr]],Table2[#All],5,FALSE)=0,"",VLOOKUP(Table30[[#This Row],[bal_nr]],Table2[#All],5,FALSE))</f>
        <v/>
      </c>
      <c r="F258">
        <v>53</v>
      </c>
    </row>
    <row r="259" spans="1:6" x14ac:dyDescent="0.25">
      <c r="A259" s="1" t="s">
        <v>47</v>
      </c>
      <c r="B259" t="s">
        <v>369</v>
      </c>
      <c r="C259" t="str">
        <f>IF(VLOOKUP(Table30[[#This Row],[bal_nr]],Table2[#All],3,FALSE)=0,"",VLOOKUP(Table30[[#This Row],[bal_nr]],Table2[#All],3,FALSE))</f>
        <v>3.4 Nutssector en industrie</v>
      </c>
      <c r="D259" t="str">
        <f>IF(VLOOKUP(Table30[[#This Row],[bal_nr]],Table2[#All],4,FALSE)=0,"",VLOOKUP(Table30[[#This Row],[bal_nr]],Table2[#All],4,FALSE))</f>
        <v>3.4.8 Voedingsmiddelenindustrie</v>
      </c>
      <c r="E259" t="str">
        <f>IF(VLOOKUP(Table30[[#This Row],[bal_nr]],Table2[#All],5,FALSE)=0,"",VLOOKUP(Table30[[#This Row],[bal_nr]],Table2[#All],5,FALSE))</f>
        <v/>
      </c>
      <c r="F259">
        <v>53</v>
      </c>
    </row>
    <row r="260" spans="1:6" x14ac:dyDescent="0.25">
      <c r="A260" s="1" t="s">
        <v>48</v>
      </c>
      <c r="B260" t="s">
        <v>370</v>
      </c>
      <c r="C260" t="str">
        <f>IF(VLOOKUP(Table30[[#This Row],[bal_nr]],Table2[#All],3,FALSE)=0,"",VLOOKUP(Table30[[#This Row],[bal_nr]],Table2[#All],3,FALSE))</f>
        <v>3.4 Nutssector en industrie</v>
      </c>
      <c r="D260" t="str">
        <f>IF(VLOOKUP(Table30[[#This Row],[bal_nr]],Table2[#All],4,FALSE)=0,"",VLOOKUP(Table30[[#This Row],[bal_nr]],Table2[#All],4,FALSE))</f>
        <v>3.4.8 Voedingsmiddelenindustrie</v>
      </c>
      <c r="E260" t="str">
        <f>IF(VLOOKUP(Table30[[#This Row],[bal_nr]],Table2[#All],5,FALSE)=0,"",VLOOKUP(Table30[[#This Row],[bal_nr]],Table2[#All],5,FALSE))</f>
        <v/>
      </c>
      <c r="F260">
        <v>53</v>
      </c>
    </row>
    <row r="261" spans="1:6" x14ac:dyDescent="0.25">
      <c r="A261" s="1" t="s">
        <v>50</v>
      </c>
      <c r="B261" t="s">
        <v>372</v>
      </c>
      <c r="C261" t="str">
        <f>IF(VLOOKUP(Table30[[#This Row],[bal_nr]],Table2[#All],3,FALSE)=0,"",VLOOKUP(Table30[[#This Row],[bal_nr]],Table2[#All],3,FALSE))</f>
        <v>3.4 Nutssector en industrie</v>
      </c>
      <c r="D261" t="str">
        <f>IF(VLOOKUP(Table30[[#This Row],[bal_nr]],Table2[#All],4,FALSE)=0,"",VLOOKUP(Table30[[#This Row],[bal_nr]],Table2[#All],4,FALSE))</f>
        <v>3.4.8 Voedingsmiddelenindustrie</v>
      </c>
      <c r="E261" t="str">
        <f>IF(VLOOKUP(Table30[[#This Row],[bal_nr]],Table2[#All],5,FALSE)=0,"",VLOOKUP(Table30[[#This Row],[bal_nr]],Table2[#All],5,FALSE))</f>
        <v/>
      </c>
      <c r="F261">
        <v>53</v>
      </c>
    </row>
    <row r="262" spans="1:6" x14ac:dyDescent="0.25">
      <c r="A262" s="1" t="s">
        <v>51</v>
      </c>
      <c r="B262" t="s">
        <v>373</v>
      </c>
      <c r="C262" t="str">
        <f>IF(VLOOKUP(Table30[[#This Row],[bal_nr]],Table2[#All],3,FALSE)=0,"",VLOOKUP(Table30[[#This Row],[bal_nr]],Table2[#All],3,FALSE))</f>
        <v>3.4 Nutssector en industrie</v>
      </c>
      <c r="D262" t="str">
        <f>IF(VLOOKUP(Table30[[#This Row],[bal_nr]],Table2[#All],4,FALSE)=0,"",VLOOKUP(Table30[[#This Row],[bal_nr]],Table2[#All],4,FALSE))</f>
        <v>3.4.8 Voedingsmiddelenindustrie</v>
      </c>
      <c r="E262" t="str">
        <f>IF(VLOOKUP(Table30[[#This Row],[bal_nr]],Table2[#All],5,FALSE)=0,"",VLOOKUP(Table30[[#This Row],[bal_nr]],Table2[#All],5,FALSE))</f>
        <v/>
      </c>
      <c r="F262">
        <v>53</v>
      </c>
    </row>
    <row r="263" spans="1:6" x14ac:dyDescent="0.25">
      <c r="A263" s="1" t="s">
        <v>52</v>
      </c>
      <c r="B263" t="s">
        <v>374</v>
      </c>
      <c r="C263" t="str">
        <f>IF(VLOOKUP(Table30[[#This Row],[bal_nr]],Table2[#All],3,FALSE)=0,"",VLOOKUP(Table30[[#This Row],[bal_nr]],Table2[#All],3,FALSE))</f>
        <v>3.4 Nutssector en industrie</v>
      </c>
      <c r="D263" t="str">
        <f>IF(VLOOKUP(Table30[[#This Row],[bal_nr]],Table2[#All],4,FALSE)=0,"",VLOOKUP(Table30[[#This Row],[bal_nr]],Table2[#All],4,FALSE))</f>
        <v>3.4.8 Voedingsmiddelenindustrie</v>
      </c>
      <c r="E263" t="str">
        <f>IF(VLOOKUP(Table30[[#This Row],[bal_nr]],Table2[#All],5,FALSE)=0,"",VLOOKUP(Table30[[#This Row],[bal_nr]],Table2[#All],5,FALSE))</f>
        <v/>
      </c>
      <c r="F263">
        <v>53</v>
      </c>
    </row>
    <row r="264" spans="1:6" x14ac:dyDescent="0.25">
      <c r="A264" s="1" t="s">
        <v>55</v>
      </c>
      <c r="B264" t="s">
        <v>377</v>
      </c>
      <c r="C264" t="str">
        <f>IF(VLOOKUP(Table30[[#This Row],[bal_nr]],Table2[#All],3,FALSE)=0,"",VLOOKUP(Table30[[#This Row],[bal_nr]],Table2[#All],3,FALSE))</f>
        <v>3.4 Nutssector en industrie</v>
      </c>
      <c r="D264" t="str">
        <f>IF(VLOOKUP(Table30[[#This Row],[bal_nr]],Table2[#All],4,FALSE)=0,"",VLOOKUP(Table30[[#This Row],[bal_nr]],Table2[#All],4,FALSE))</f>
        <v>3.4.8 Voedingsmiddelenindustrie</v>
      </c>
      <c r="E264" t="str">
        <f>IF(VLOOKUP(Table30[[#This Row],[bal_nr]],Table2[#All],5,FALSE)=0,"",VLOOKUP(Table30[[#This Row],[bal_nr]],Table2[#All],5,FALSE))</f>
        <v/>
      </c>
      <c r="F264">
        <v>53</v>
      </c>
    </row>
    <row r="265" spans="1:6" x14ac:dyDescent="0.25">
      <c r="A265" s="1" t="s">
        <v>56</v>
      </c>
      <c r="B265" t="s">
        <v>378</v>
      </c>
      <c r="C265" t="str">
        <f>IF(VLOOKUP(Table30[[#This Row],[bal_nr]],Table2[#All],3,FALSE)=0,"",VLOOKUP(Table30[[#This Row],[bal_nr]],Table2[#All],3,FALSE))</f>
        <v>3.4 Nutssector en industrie</v>
      </c>
      <c r="D265" t="str">
        <f>IF(VLOOKUP(Table30[[#This Row],[bal_nr]],Table2[#All],4,FALSE)=0,"",VLOOKUP(Table30[[#This Row],[bal_nr]],Table2[#All],4,FALSE))</f>
        <v>3.4.8 Voedingsmiddelenindustrie</v>
      </c>
      <c r="E265" t="str">
        <f>IF(VLOOKUP(Table30[[#This Row],[bal_nr]],Table2[#All],5,FALSE)=0,"",VLOOKUP(Table30[[#This Row],[bal_nr]],Table2[#All],5,FALSE))</f>
        <v/>
      </c>
      <c r="F265">
        <v>53</v>
      </c>
    </row>
    <row r="266" spans="1:6" x14ac:dyDescent="0.25">
      <c r="A266" s="1" t="s">
        <v>58</v>
      </c>
      <c r="B266" t="s">
        <v>380</v>
      </c>
      <c r="C266" t="str">
        <f>IF(VLOOKUP(Table30[[#This Row],[bal_nr]],Table2[#All],3,FALSE)=0,"",VLOOKUP(Table30[[#This Row],[bal_nr]],Table2[#All],3,FALSE))</f>
        <v>3.4 Nutssector en industrie</v>
      </c>
      <c r="D266" t="str">
        <f>IF(VLOOKUP(Table30[[#This Row],[bal_nr]],Table2[#All],4,FALSE)=0,"",VLOOKUP(Table30[[#This Row],[bal_nr]],Table2[#All],4,FALSE))</f>
        <v>3.4.8 Voedingsmiddelenindustrie</v>
      </c>
      <c r="E266" t="str">
        <f>IF(VLOOKUP(Table30[[#This Row],[bal_nr]],Table2[#All],5,FALSE)=0,"",VLOOKUP(Table30[[#This Row],[bal_nr]],Table2[#All],5,FALSE))</f>
        <v/>
      </c>
      <c r="F266">
        <v>53</v>
      </c>
    </row>
    <row r="267" spans="1:6" x14ac:dyDescent="0.25">
      <c r="A267" s="1" t="s">
        <v>59</v>
      </c>
      <c r="B267" t="s">
        <v>381</v>
      </c>
      <c r="C267" t="str">
        <f>IF(VLOOKUP(Table30[[#This Row],[bal_nr]],Table2[#All],3,FALSE)=0,"",VLOOKUP(Table30[[#This Row],[bal_nr]],Table2[#All],3,FALSE))</f>
        <v>3.4 Nutssector en industrie</v>
      </c>
      <c r="D267" t="str">
        <f>IF(VLOOKUP(Table30[[#This Row],[bal_nr]],Table2[#All],4,FALSE)=0,"",VLOOKUP(Table30[[#This Row],[bal_nr]],Table2[#All],4,FALSE))</f>
        <v>3.4.8 Voedingsmiddelenindustrie</v>
      </c>
      <c r="E267" t="str">
        <f>IF(VLOOKUP(Table30[[#This Row],[bal_nr]],Table2[#All],5,FALSE)=0,"",VLOOKUP(Table30[[#This Row],[bal_nr]],Table2[#All],5,FALSE))</f>
        <v/>
      </c>
      <c r="F267">
        <v>53</v>
      </c>
    </row>
    <row r="268" spans="1:6" x14ac:dyDescent="0.25">
      <c r="A268" s="1" t="s">
        <v>60</v>
      </c>
      <c r="B268" t="s">
        <v>382</v>
      </c>
      <c r="C268" t="str">
        <f>IF(VLOOKUP(Table30[[#This Row],[bal_nr]],Table2[#All],3,FALSE)=0,"",VLOOKUP(Table30[[#This Row],[bal_nr]],Table2[#All],3,FALSE))</f>
        <v>3.4 Nutssector en industrie</v>
      </c>
      <c r="D268" t="str">
        <f>IF(VLOOKUP(Table30[[#This Row],[bal_nr]],Table2[#All],4,FALSE)=0,"",VLOOKUP(Table30[[#This Row],[bal_nr]],Table2[#All],4,FALSE))</f>
        <v>3.4.8 Voedingsmiddelenindustrie</v>
      </c>
      <c r="E268" t="str">
        <f>IF(VLOOKUP(Table30[[#This Row],[bal_nr]],Table2[#All],5,FALSE)=0,"",VLOOKUP(Table30[[#This Row],[bal_nr]],Table2[#All],5,FALSE))</f>
        <v/>
      </c>
      <c r="F268">
        <v>53</v>
      </c>
    </row>
    <row r="269" spans="1:6" x14ac:dyDescent="0.25">
      <c r="A269" s="1" t="s">
        <v>61</v>
      </c>
      <c r="B269" t="s">
        <v>383</v>
      </c>
      <c r="C269" t="str">
        <f>IF(VLOOKUP(Table30[[#This Row],[bal_nr]],Table2[#All],3,FALSE)=0,"",VLOOKUP(Table30[[#This Row],[bal_nr]],Table2[#All],3,FALSE))</f>
        <v>3.4 Nutssector en industrie</v>
      </c>
      <c r="D269" t="str">
        <f>IF(VLOOKUP(Table30[[#This Row],[bal_nr]],Table2[#All],4,FALSE)=0,"",VLOOKUP(Table30[[#This Row],[bal_nr]],Table2[#All],4,FALSE))</f>
        <v>3.4.8 Voedingsmiddelenindustrie</v>
      </c>
      <c r="E269" t="str">
        <f>IF(VLOOKUP(Table30[[#This Row],[bal_nr]],Table2[#All],5,FALSE)=0,"",VLOOKUP(Table30[[#This Row],[bal_nr]],Table2[#All],5,FALSE))</f>
        <v/>
      </c>
      <c r="F269">
        <v>53</v>
      </c>
    </row>
    <row r="270" spans="1:6" x14ac:dyDescent="0.25">
      <c r="A270" s="1" t="s">
        <v>227</v>
      </c>
      <c r="B270" t="s">
        <v>385</v>
      </c>
      <c r="C270" t="str">
        <f>IF(VLOOKUP(Table30[[#This Row],[bal_nr]],Table2[#All],3,FALSE)=0,"",VLOOKUP(Table30[[#This Row],[bal_nr]],Table2[#All],3,FALSE))</f>
        <v>3.4 Nutssector en industrie</v>
      </c>
      <c r="D270" t="str">
        <f>IF(VLOOKUP(Table30[[#This Row],[bal_nr]],Table2[#All],4,FALSE)=0,"",VLOOKUP(Table30[[#This Row],[bal_nr]],Table2[#All],4,FALSE))</f>
        <v>3.4.8 Voedingsmiddelenindustrie</v>
      </c>
      <c r="E270" t="str">
        <f>IF(VLOOKUP(Table30[[#This Row],[bal_nr]],Table2[#All],5,FALSE)=0,"",VLOOKUP(Table30[[#This Row],[bal_nr]],Table2[#All],5,FALSE))</f>
        <v/>
      </c>
      <c r="F270">
        <v>53</v>
      </c>
    </row>
    <row r="271" spans="1:6" x14ac:dyDescent="0.25">
      <c r="A271" s="1" t="s">
        <v>229</v>
      </c>
      <c r="B271" t="s">
        <v>387</v>
      </c>
      <c r="C271" t="str">
        <f>IF(VLOOKUP(Table30[[#This Row],[bal_nr]],Table2[#All],3,FALSE)=0,"",VLOOKUP(Table30[[#This Row],[bal_nr]],Table2[#All],3,FALSE))</f>
        <v>3.4 Nutssector en industrie</v>
      </c>
      <c r="D271" t="str">
        <f>IF(VLOOKUP(Table30[[#This Row],[bal_nr]],Table2[#All],4,FALSE)=0,"",VLOOKUP(Table30[[#This Row],[bal_nr]],Table2[#All],4,FALSE))</f>
        <v>3.4.8 Voedingsmiddelenindustrie</v>
      </c>
      <c r="E271" t="str">
        <f>IF(VLOOKUP(Table30[[#This Row],[bal_nr]],Table2[#All],5,FALSE)=0,"",VLOOKUP(Table30[[#This Row],[bal_nr]],Table2[#All],5,FALSE))</f>
        <v/>
      </c>
      <c r="F271">
        <v>53</v>
      </c>
    </row>
    <row r="272" spans="1:6" x14ac:dyDescent="0.25">
      <c r="A272" s="1" t="s">
        <v>230</v>
      </c>
      <c r="B272" t="s">
        <v>388</v>
      </c>
      <c r="C272" t="str">
        <f>IF(VLOOKUP(Table30[[#This Row],[bal_nr]],Table2[#All],3,FALSE)=0,"",VLOOKUP(Table30[[#This Row],[bal_nr]],Table2[#All],3,FALSE))</f>
        <v>3.4 Nutssector en industrie</v>
      </c>
      <c r="D272" t="str">
        <f>IF(VLOOKUP(Table30[[#This Row],[bal_nr]],Table2[#All],4,FALSE)=0,"",VLOOKUP(Table30[[#This Row],[bal_nr]],Table2[#All],4,FALSE))</f>
        <v>3.4.8 Voedingsmiddelenindustrie</v>
      </c>
      <c r="E272" t="str">
        <f>IF(VLOOKUP(Table30[[#This Row],[bal_nr]],Table2[#All],5,FALSE)=0,"",VLOOKUP(Table30[[#This Row],[bal_nr]],Table2[#All],5,FALSE))</f>
        <v/>
      </c>
      <c r="F272">
        <v>53</v>
      </c>
    </row>
    <row r="273" spans="1:6" x14ac:dyDescent="0.25">
      <c r="A273" s="1" t="s">
        <v>235</v>
      </c>
      <c r="B273" t="s">
        <v>393</v>
      </c>
      <c r="C273" t="str">
        <f>IF(VLOOKUP(Table30[[#This Row],[bal_nr]],Table2[#All],3,FALSE)=0,"",VLOOKUP(Table30[[#This Row],[bal_nr]],Table2[#All],3,FALSE))</f>
        <v>3.4 Nutssector en industrie</v>
      </c>
      <c r="D273" t="str">
        <f>IF(VLOOKUP(Table30[[#This Row],[bal_nr]],Table2[#All],4,FALSE)=0,"",VLOOKUP(Table30[[#This Row],[bal_nr]],Table2[#All],4,FALSE))</f>
        <v>3.4.8 Voedingsmiddelenindustrie</v>
      </c>
      <c r="E273" t="str">
        <f>IF(VLOOKUP(Table30[[#This Row],[bal_nr]],Table2[#All],5,FALSE)=0,"",VLOOKUP(Table30[[#This Row],[bal_nr]],Table2[#All],5,FALSE))</f>
        <v/>
      </c>
      <c r="F273">
        <v>53</v>
      </c>
    </row>
    <row r="274" spans="1:6" x14ac:dyDescent="0.25">
      <c r="A274" s="1" t="s">
        <v>239</v>
      </c>
      <c r="B274" t="s">
        <v>396</v>
      </c>
      <c r="C274" t="str">
        <f>IF(VLOOKUP(Table30[[#This Row],[bal_nr]],Table2[#All],3,FALSE)=0,"",VLOOKUP(Table30[[#This Row],[bal_nr]],Table2[#All],3,FALSE))</f>
        <v>3.4 Nutssector en industrie</v>
      </c>
      <c r="D274" t="str">
        <f>IF(VLOOKUP(Table30[[#This Row],[bal_nr]],Table2[#All],4,FALSE)=0,"",VLOOKUP(Table30[[#This Row],[bal_nr]],Table2[#All],4,FALSE))</f>
        <v>3.4.8 Voedingsmiddelenindustrie</v>
      </c>
      <c r="E274" t="str">
        <f>IF(VLOOKUP(Table30[[#This Row],[bal_nr]],Table2[#All],5,FALSE)=0,"",VLOOKUP(Table30[[#This Row],[bal_nr]],Table2[#All],5,FALSE))</f>
        <v/>
      </c>
      <c r="F274">
        <v>53</v>
      </c>
    </row>
    <row r="275" spans="1:6" x14ac:dyDescent="0.25">
      <c r="A275" s="1" t="s">
        <v>306</v>
      </c>
      <c r="B275" t="s">
        <v>459</v>
      </c>
      <c r="C275" t="str">
        <f>IF(VLOOKUP(Table30[[#This Row],[bal_nr]],Table2[#All],3,FALSE)=0,"",VLOOKUP(Table30[[#This Row],[bal_nr]],Table2[#All],3,FALSE))</f>
        <v>3.4 Nutssector en industrie</v>
      </c>
      <c r="D275" t="str">
        <f>IF(VLOOKUP(Table30[[#This Row],[bal_nr]],Table2[#All],4,FALSE)=0,"",VLOOKUP(Table30[[#This Row],[bal_nr]],Table2[#All],4,FALSE))</f>
        <v>3.4.9 Rubberindustrie en kunststofindustrie</v>
      </c>
      <c r="E275" t="str">
        <f>IF(VLOOKUP(Table30[[#This Row],[bal_nr]],Table2[#All],5,FALSE)=0,"",VLOOKUP(Table30[[#This Row],[bal_nr]],Table2[#All],5,FALSE))</f>
        <v>3.4.9 c het verwerken van elastomeren</v>
      </c>
      <c r="F275">
        <v>60</v>
      </c>
    </row>
    <row r="276" spans="1:6" x14ac:dyDescent="0.25">
      <c r="A276" s="1" t="s">
        <v>307</v>
      </c>
      <c r="B276" t="s">
        <v>460</v>
      </c>
      <c r="C276" t="str">
        <f>IF(VLOOKUP(Table30[[#This Row],[bal_nr]],Table2[#All],3,FALSE)=0,"",VLOOKUP(Table30[[#This Row],[bal_nr]],Table2[#All],3,FALSE))</f>
        <v>3.4 Nutssector en industrie</v>
      </c>
      <c r="D276" t="str">
        <f>IF(VLOOKUP(Table30[[#This Row],[bal_nr]],Table2[#All],4,FALSE)=0,"",VLOOKUP(Table30[[#This Row],[bal_nr]],Table2[#All],4,FALSE))</f>
        <v>3.4.9 Rubberindustrie en kunststofindustrie</v>
      </c>
      <c r="E276" t="str">
        <f>IF(VLOOKUP(Table30[[#This Row],[bal_nr]],Table2[#All],5,FALSE)=0,"",VLOOKUP(Table30[[#This Row],[bal_nr]],Table2[#All],5,FALSE))</f>
        <v>3.4.9 c het verwerken van elastomeren</v>
      </c>
      <c r="F276">
        <v>60</v>
      </c>
    </row>
    <row r="277" spans="1:6" x14ac:dyDescent="0.25">
      <c r="A277" s="1" t="s">
        <v>308</v>
      </c>
      <c r="B277" t="s">
        <v>461</v>
      </c>
      <c r="C277" t="str">
        <f>IF(VLOOKUP(Table30[[#This Row],[bal_nr]],Table2[#All],3,FALSE)=0,"",VLOOKUP(Table30[[#This Row],[bal_nr]],Table2[#All],3,FALSE))</f>
        <v>3.4 Nutssector en industrie</v>
      </c>
      <c r="D277" t="str">
        <f>IF(VLOOKUP(Table30[[#This Row],[bal_nr]],Table2[#All],4,FALSE)=0,"",VLOOKUP(Table30[[#This Row],[bal_nr]],Table2[#All],4,FALSE))</f>
        <v>3.4.9 Rubberindustrie en kunststofindustrie</v>
      </c>
      <c r="E277" t="str">
        <f>IF(VLOOKUP(Table30[[#This Row],[bal_nr]],Table2[#All],5,FALSE)=0,"",VLOOKUP(Table30[[#This Row],[bal_nr]],Table2[#All],5,FALSE))</f>
        <v>3.4.9 c het verwerken van elastomeren</v>
      </c>
      <c r="F277">
        <v>60</v>
      </c>
    </row>
    <row r="278" spans="1:6" x14ac:dyDescent="0.25">
      <c r="A278" s="1" t="s">
        <v>309</v>
      </c>
      <c r="B278" t="s">
        <v>462</v>
      </c>
      <c r="C278" t="str">
        <f>IF(VLOOKUP(Table30[[#This Row],[bal_nr]],Table2[#All],3,FALSE)=0,"",VLOOKUP(Table30[[#This Row],[bal_nr]],Table2[#All],3,FALSE))</f>
        <v>3.4 Nutssector en industrie</v>
      </c>
      <c r="D278" t="str">
        <f>IF(VLOOKUP(Table30[[#This Row],[bal_nr]],Table2[#All],4,FALSE)=0,"",VLOOKUP(Table30[[#This Row],[bal_nr]],Table2[#All],4,FALSE))</f>
        <v>3.4.9 Rubberindustrie en kunststofindustrie</v>
      </c>
      <c r="E278" t="str">
        <f>IF(VLOOKUP(Table30[[#This Row],[bal_nr]],Table2[#All],5,FALSE)=0,"",VLOOKUP(Table30[[#This Row],[bal_nr]],Table2[#All],5,FALSE))</f>
        <v>3.4.9 e het maken van producten van kunststof</v>
      </c>
      <c r="F278">
        <v>61</v>
      </c>
    </row>
    <row r="279" spans="1:6" x14ac:dyDescent="0.25">
      <c r="A279" s="1" t="s">
        <v>311</v>
      </c>
      <c r="B279" t="s">
        <v>463</v>
      </c>
      <c r="C279" t="str">
        <f>IF(VLOOKUP(Table30[[#This Row],[bal_nr]],Table2[#All],3,FALSE)=0,"",VLOOKUP(Table30[[#This Row],[bal_nr]],Table2[#All],3,FALSE))</f>
        <v>3.4 Nutssector en industrie</v>
      </c>
      <c r="D279" t="str">
        <f>IF(VLOOKUP(Table30[[#This Row],[bal_nr]],Table2[#All],4,FALSE)=0,"",VLOOKUP(Table30[[#This Row],[bal_nr]],Table2[#All],4,FALSE))</f>
        <v>3.4.9 Rubberindustrie en kunststofindustrie</v>
      </c>
      <c r="E279" t="str">
        <f>IF(VLOOKUP(Table30[[#This Row],[bal_nr]],Table2[#All],5,FALSE)=0,"",VLOOKUP(Table30[[#This Row],[bal_nr]],Table2[#All],5,FALSE))</f>
        <v>3.4.9 e het maken van producten van kunststof</v>
      </c>
      <c r="F279">
        <v>61</v>
      </c>
    </row>
    <row r="280" spans="1:6" x14ac:dyDescent="0.25">
      <c r="A280" s="1" t="s">
        <v>312</v>
      </c>
      <c r="B280" t="s">
        <v>464</v>
      </c>
      <c r="C280" t="str">
        <f>IF(VLOOKUP(Table30[[#This Row],[bal_nr]],Table2[#All],3,FALSE)=0,"",VLOOKUP(Table30[[#This Row],[bal_nr]],Table2[#All],3,FALSE))</f>
        <v>3.4 Nutssector en industrie</v>
      </c>
      <c r="D280" t="str">
        <f>IF(VLOOKUP(Table30[[#This Row],[bal_nr]],Table2[#All],4,FALSE)=0,"",VLOOKUP(Table30[[#This Row],[bal_nr]],Table2[#All],4,FALSE))</f>
        <v>3.4.9 Rubberindustrie en kunststofindustrie</v>
      </c>
      <c r="E280" t="str">
        <f>IF(VLOOKUP(Table30[[#This Row],[bal_nr]],Table2[#All],5,FALSE)=0,"",VLOOKUP(Table30[[#This Row],[bal_nr]],Table2[#All],5,FALSE))</f>
        <v>3.4.9 e het maken van producten van kunststof</v>
      </c>
      <c r="F280">
        <v>61</v>
      </c>
    </row>
    <row r="281" spans="1:6" x14ac:dyDescent="0.25">
      <c r="A281" s="1" t="s">
        <v>313</v>
      </c>
      <c r="B281" t="s">
        <v>465</v>
      </c>
      <c r="C281" t="str">
        <f>IF(VLOOKUP(Table30[[#This Row],[bal_nr]],Table2[#All],3,FALSE)=0,"",VLOOKUP(Table30[[#This Row],[bal_nr]],Table2[#All],3,FALSE))</f>
        <v>3.4 Nutssector en industrie</v>
      </c>
      <c r="D281" t="str">
        <f>IF(VLOOKUP(Table30[[#This Row],[bal_nr]],Table2[#All],4,FALSE)=0,"",VLOOKUP(Table30[[#This Row],[bal_nr]],Table2[#All],4,FALSE))</f>
        <v>3.4.9 Rubberindustrie en kunststofindustrie</v>
      </c>
      <c r="E281" t="str">
        <f>IF(VLOOKUP(Table30[[#This Row],[bal_nr]],Table2[#All],5,FALSE)=0,"",VLOOKUP(Table30[[#This Row],[bal_nr]],Table2[#All],5,FALSE))</f>
        <v>3.4.9 e het maken van producten van kunststof</v>
      </c>
      <c r="F281">
        <v>61</v>
      </c>
    </row>
    <row r="282" spans="1:6" x14ac:dyDescent="0.25">
      <c r="A282" s="1" t="s">
        <v>314</v>
      </c>
      <c r="B282" t="s">
        <v>466</v>
      </c>
      <c r="C282" t="str">
        <f>IF(VLOOKUP(Table30[[#This Row],[bal_nr]],Table2[#All],3,FALSE)=0,"",VLOOKUP(Table30[[#This Row],[bal_nr]],Table2[#All],3,FALSE))</f>
        <v>3.4 Nutssector en industrie</v>
      </c>
      <c r="D282" t="str">
        <f>IF(VLOOKUP(Table30[[#This Row],[bal_nr]],Table2[#All],4,FALSE)=0,"",VLOOKUP(Table30[[#This Row],[bal_nr]],Table2[#All],4,FALSE))</f>
        <v>3.4.9 Rubberindustrie en kunststofindustrie</v>
      </c>
      <c r="E282" t="str">
        <f>IF(VLOOKUP(Table30[[#This Row],[bal_nr]],Table2[#All],5,FALSE)=0,"",VLOOKUP(Table30[[#This Row],[bal_nr]],Table2[#All],5,FALSE))</f>
        <v>3.4.9 e het maken van producten van kunststof</v>
      </c>
      <c r="F282">
        <v>61</v>
      </c>
    </row>
    <row r="283" spans="1:6" x14ac:dyDescent="0.25">
      <c r="A283" s="1" t="s">
        <v>291</v>
      </c>
      <c r="B283" t="s">
        <v>444</v>
      </c>
      <c r="C283" t="str">
        <f>IF(VLOOKUP(Table30[[#This Row],[bal_nr]],Table2[#All],3,FALSE)=0,"",VLOOKUP(Table30[[#This Row],[bal_nr]],Table2[#All],3,FALSE))</f>
        <v>3.4 Nutssector en industrie</v>
      </c>
      <c r="D283" t="str">
        <f>IF(VLOOKUP(Table30[[#This Row],[bal_nr]],Table2[#All],4,FALSE)=0,"",VLOOKUP(Table30[[#This Row],[bal_nr]],Table2[#All],4,FALSE))</f>
        <v>3.4.9 Rubberindustrie en kunststofindustrie</v>
      </c>
      <c r="E283" t="str">
        <f>IF(VLOOKUP(Table30[[#This Row],[bal_nr]],Table2[#All],5,FALSE)=0,"",VLOOKUP(Table30[[#This Row],[bal_nr]],Table2[#All],5,FALSE))</f>
        <v/>
      </c>
      <c r="F283">
        <v>59</v>
      </c>
    </row>
    <row r="284" spans="1:6" x14ac:dyDescent="0.25">
      <c r="A284" s="1" t="s">
        <v>305</v>
      </c>
      <c r="B284" t="s">
        <v>458</v>
      </c>
      <c r="C284" t="str">
        <f>IF(VLOOKUP(Table30[[#This Row],[bal_nr]],Table2[#All],3,FALSE)=0,"",VLOOKUP(Table30[[#This Row],[bal_nr]],Table2[#All],3,FALSE))</f>
        <v>3.4 Nutssector en industrie</v>
      </c>
      <c r="D284" t="str">
        <f>IF(VLOOKUP(Table30[[#This Row],[bal_nr]],Table2[#All],4,FALSE)=0,"",VLOOKUP(Table30[[#This Row],[bal_nr]],Table2[#All],4,FALSE))</f>
        <v>3.4.9 Rubberindustrie en kunststofindustrie</v>
      </c>
      <c r="E284" t="str">
        <f>IF(VLOOKUP(Table30[[#This Row],[bal_nr]],Table2[#All],5,FALSE)=0,"",VLOOKUP(Table30[[#This Row],[bal_nr]],Table2[#All],5,FALSE))</f>
        <v/>
      </c>
      <c r="F284">
        <v>59</v>
      </c>
    </row>
    <row r="285" spans="1:6" x14ac:dyDescent="0.25">
      <c r="A285" s="1" t="s">
        <v>160</v>
      </c>
      <c r="B285" t="s">
        <v>579</v>
      </c>
      <c r="C285" t="str">
        <f>IF(VLOOKUP(Table30[[#This Row],[bal_nr]],Table2[#All],3,FALSE)=0,"",VLOOKUP(Table30[[#This Row],[bal_nr]],Table2[#All],3,FALSE))</f>
        <v>3.5 Afvalbeheer</v>
      </c>
      <c r="D285" t="str">
        <f>IF(VLOOKUP(Table30[[#This Row],[bal_nr]],Table2[#All],4,FALSE)=0,"",VLOOKUP(Table30[[#This Row],[bal_nr]],Table2[#All],4,FALSE))</f>
        <v>3.5.11 Verwerken van bedrijfsafvalstoffen of gevaarlijke afvalstoffen</v>
      </c>
      <c r="E285" t="str">
        <f>IF(VLOOKUP(Table30[[#This Row],[bal_nr]],Table2[#All],5,FALSE)=0,"",VLOOKUP(Table30[[#This Row],[bal_nr]],Table2[#All],5,FALSE))</f>
        <v/>
      </c>
      <c r="F285">
        <v>63</v>
      </c>
    </row>
    <row r="286" spans="1:6" x14ac:dyDescent="0.25">
      <c r="A286" s="1" t="s">
        <v>165</v>
      </c>
      <c r="B286" t="s">
        <v>584</v>
      </c>
      <c r="C286" t="str">
        <f>IF(VLOOKUP(Table30[[#This Row],[bal_nr]],Table2[#All],3,FALSE)=0,"",VLOOKUP(Table30[[#This Row],[bal_nr]],Table2[#All],3,FALSE))</f>
        <v>3.5 Afvalbeheer</v>
      </c>
      <c r="D286" t="str">
        <f>IF(VLOOKUP(Table30[[#This Row],[bal_nr]],Table2[#All],4,FALSE)=0,"",VLOOKUP(Table30[[#This Row],[bal_nr]],Table2[#All],4,FALSE))</f>
        <v>3.5.11 Verwerken van bedrijfsafvalstoffen of gevaarlijke afvalstoffen</v>
      </c>
      <c r="E286" t="str">
        <f>IF(VLOOKUP(Table30[[#This Row],[bal_nr]],Table2[#All],5,FALSE)=0,"",VLOOKUP(Table30[[#This Row],[bal_nr]],Table2[#All],5,FALSE))</f>
        <v/>
      </c>
      <c r="F286">
        <v>63</v>
      </c>
    </row>
    <row r="287" spans="1:6" x14ac:dyDescent="0.25">
      <c r="A287" s="1" t="s">
        <v>148</v>
      </c>
      <c r="B287" t="s">
        <v>569</v>
      </c>
      <c r="C287" t="str">
        <f>IF(VLOOKUP(Table30[[#This Row],[bal_nr]],Table2[#All],3,FALSE)=0,"",VLOOKUP(Table30[[#This Row],[bal_nr]],Table2[#All],3,FALSE))</f>
        <v>3.5 Afvalbeheer</v>
      </c>
      <c r="D287" t="str">
        <f>IF(VLOOKUP(Table30[[#This Row],[bal_nr]],Table2[#All],4,FALSE)=0,"",VLOOKUP(Table30[[#This Row],[bal_nr]],Table2[#All],4,FALSE))</f>
        <v>3.5.2 Kringloopbedrijf en bedrijf voor reparatie van gebruikte producten</v>
      </c>
      <c r="E287" t="str">
        <f>IF(VLOOKUP(Table30[[#This Row],[bal_nr]],Table2[#All],5,FALSE)=0,"",VLOOKUP(Table30[[#This Row],[bal_nr]],Table2[#All],5,FALSE))</f>
        <v/>
      </c>
      <c r="F287">
        <v>64</v>
      </c>
    </row>
    <row r="288" spans="1:6" x14ac:dyDescent="0.25">
      <c r="A288" s="1" t="s">
        <v>160</v>
      </c>
      <c r="B288" t="s">
        <v>579</v>
      </c>
      <c r="C288" t="str">
        <f>IF(VLOOKUP(Table30[[#This Row],[bal_nr]],Table2[#All],3,FALSE)=0,"",VLOOKUP(Table30[[#This Row],[bal_nr]],Table2[#All],3,FALSE))</f>
        <v>3.5 Afvalbeheer</v>
      </c>
      <c r="D288" t="str">
        <f>IF(VLOOKUP(Table30[[#This Row],[bal_nr]],Table2[#All],4,FALSE)=0,"",VLOOKUP(Table30[[#This Row],[bal_nr]],Table2[#All],4,FALSE))</f>
        <v>3.5.6 Milieustraat</v>
      </c>
      <c r="E288" t="str">
        <f>IF(VLOOKUP(Table30[[#This Row],[bal_nr]],Table2[#All],5,FALSE)=0,"",VLOOKUP(Table30[[#This Row],[bal_nr]],Table2[#All],5,FALSE))</f>
        <v/>
      </c>
      <c r="F288">
        <v>65</v>
      </c>
    </row>
    <row r="289" spans="1:6" x14ac:dyDescent="0.25">
      <c r="A289" s="1" t="s">
        <v>158</v>
      </c>
      <c r="B289" t="s">
        <v>153</v>
      </c>
      <c r="C289" t="str">
        <f>IF(VLOOKUP(Table30[[#This Row],[bal_nr]],Table2[#All],3,FALSE)=0,"",VLOOKUP(Table30[[#This Row],[bal_nr]],Table2[#All],3,FALSE))</f>
        <v>3.5 Afvalbeheer</v>
      </c>
      <c r="D289" t="str">
        <f>IF(VLOOKUP(Table30[[#This Row],[bal_nr]],Table2[#All],4,FALSE)=0,"",VLOOKUP(Table30[[#This Row],[bal_nr]],Table2[#All],4,FALSE))</f>
        <v>3.5.7 Zuiveringtechnisch werk</v>
      </c>
      <c r="E289" t="str">
        <f>IF(VLOOKUP(Table30[[#This Row],[bal_nr]],Table2[#All],5,FALSE)=0,"",VLOOKUP(Table30[[#This Row],[bal_nr]],Table2[#All],5,FALSE))</f>
        <v/>
      </c>
      <c r="F289">
        <v>66</v>
      </c>
    </row>
    <row r="290" spans="1:6" x14ac:dyDescent="0.25">
      <c r="A290" s="1" t="s">
        <v>4</v>
      </c>
      <c r="B290" t="s">
        <v>27</v>
      </c>
      <c r="C290" t="str">
        <f>IF(VLOOKUP(Table30[[#This Row],[bal_nr]],Table2[#All],3,FALSE)=0,"",VLOOKUP(Table30[[#This Row],[bal_nr]],Table2[#All],3,FALSE))</f>
        <v>3.6 Agrarische sector</v>
      </c>
      <c r="D290" t="str">
        <f>IF(VLOOKUP(Table30[[#This Row],[bal_nr]],Table2[#All],4,FALSE)=0,"",VLOOKUP(Table30[[#This Row],[bal_nr]],Table2[#All],4,FALSE))</f>
        <v>3.6.1 Veehouderij</v>
      </c>
      <c r="E290" t="str">
        <f>IF(VLOOKUP(Table30[[#This Row],[bal_nr]],Table2[#All],5,FALSE)=0,"",VLOOKUP(Table30[[#This Row],[bal_nr]],Table2[#All],5,FALSE))</f>
        <v/>
      </c>
      <c r="F290">
        <v>68</v>
      </c>
    </row>
    <row r="291" spans="1:6" x14ac:dyDescent="0.25">
      <c r="A291" s="1" t="s">
        <v>5</v>
      </c>
      <c r="B291" t="s">
        <v>28</v>
      </c>
      <c r="C291" t="str">
        <f>IF(VLOOKUP(Table30[[#This Row],[bal_nr]],Table2[#All],3,FALSE)=0,"",VLOOKUP(Table30[[#This Row],[bal_nr]],Table2[#All],3,FALSE))</f>
        <v>3.6 Agrarische sector</v>
      </c>
      <c r="D291" t="str">
        <f>IF(VLOOKUP(Table30[[#This Row],[bal_nr]],Table2[#All],4,FALSE)=0,"",VLOOKUP(Table30[[#This Row],[bal_nr]],Table2[#All],4,FALSE))</f>
        <v>3.6.1 Veehouderij</v>
      </c>
      <c r="E291" t="str">
        <f>IF(VLOOKUP(Table30[[#This Row],[bal_nr]],Table2[#All],5,FALSE)=0,"",VLOOKUP(Table30[[#This Row],[bal_nr]],Table2[#All],5,FALSE))</f>
        <v/>
      </c>
      <c r="F291">
        <v>68</v>
      </c>
    </row>
    <row r="292" spans="1:6" x14ac:dyDescent="0.25">
      <c r="A292" s="1" t="s">
        <v>152</v>
      </c>
      <c r="B292" t="s">
        <v>573</v>
      </c>
      <c r="C292" t="str">
        <f>IF(VLOOKUP(Table30[[#This Row],[bal_nr]],Table2[#All],3,FALSE)=0,"",VLOOKUP(Table30[[#This Row],[bal_nr]],Table2[#All],3,FALSE))</f>
        <v>3.7 Dienstverlening, onderwijs en zorg</v>
      </c>
      <c r="D292" t="str">
        <f>IF(VLOOKUP(Table30[[#This Row],[bal_nr]],Table2[#All],4,FALSE)=0,"",VLOOKUP(Table30[[#This Row],[bal_nr]],Table2[#All],4,FALSE))</f>
        <v>3.7.1 Bouwbedrijf, installatiebedrijf, grondbouwbedrijf, wegbouwbedrijf, waterbouwbedrijf en schildersbedrijf</v>
      </c>
      <c r="E292" t="str">
        <f>IF(VLOOKUP(Table30[[#This Row],[bal_nr]],Table2[#All],5,FALSE)=0,"",VLOOKUP(Table30[[#This Row],[bal_nr]],Table2[#All],5,FALSE))</f>
        <v/>
      </c>
      <c r="F292">
        <v>70</v>
      </c>
    </row>
    <row r="293" spans="1:6" x14ac:dyDescent="0.25">
      <c r="A293" s="1" t="s">
        <v>169</v>
      </c>
      <c r="B293" t="s">
        <v>587</v>
      </c>
      <c r="C293" t="str">
        <f>IF(VLOOKUP(Table30[[#This Row],[bal_nr]],Table2[#All],3,FALSE)=0,"",VLOOKUP(Table30[[#This Row],[bal_nr]],Table2[#All],3,FALSE))</f>
        <v>3.7 Dienstverlening, onderwijs en zorg</v>
      </c>
      <c r="D293" t="str">
        <f>IF(VLOOKUP(Table30[[#This Row],[bal_nr]],Table2[#All],4,FALSE)=0,"",VLOOKUP(Table30[[#This Row],[bal_nr]],Table2[#All],4,FALSE))</f>
        <v>3.7.1 Bouwbedrijf, installatiebedrijf, grondbouwbedrijf, wegbouwbedrijf, waterbouwbedrijf en schildersbedrijf</v>
      </c>
      <c r="E293" t="str">
        <f>IF(VLOOKUP(Table30[[#This Row],[bal_nr]],Table2[#All],5,FALSE)=0,"",VLOOKUP(Table30[[#This Row],[bal_nr]],Table2[#All],5,FALSE))</f>
        <v/>
      </c>
      <c r="F293">
        <v>70</v>
      </c>
    </row>
    <row r="294" spans="1:6" x14ac:dyDescent="0.25">
      <c r="A294" s="1" t="s">
        <v>170</v>
      </c>
      <c r="B294" t="s">
        <v>588</v>
      </c>
      <c r="C294" t="str">
        <f>IF(VLOOKUP(Table30[[#This Row],[bal_nr]],Table2[#All],3,FALSE)=0,"",VLOOKUP(Table30[[#This Row],[bal_nr]],Table2[#All],3,FALSE))</f>
        <v>3.7 Dienstverlening, onderwijs en zorg</v>
      </c>
      <c r="D294" t="str">
        <f>IF(VLOOKUP(Table30[[#This Row],[bal_nr]],Table2[#All],4,FALSE)=0,"",VLOOKUP(Table30[[#This Row],[bal_nr]],Table2[#All],4,FALSE))</f>
        <v>3.7.1 Bouwbedrijf, installatiebedrijf, grondbouwbedrijf, wegbouwbedrijf, waterbouwbedrijf en schildersbedrijf</v>
      </c>
      <c r="E294" t="str">
        <f>IF(VLOOKUP(Table30[[#This Row],[bal_nr]],Table2[#All],5,FALSE)=0,"",VLOOKUP(Table30[[#This Row],[bal_nr]],Table2[#All],5,FALSE))</f>
        <v/>
      </c>
      <c r="F294">
        <v>70</v>
      </c>
    </row>
    <row r="295" spans="1:6" x14ac:dyDescent="0.25">
      <c r="A295" s="1" t="s">
        <v>171</v>
      </c>
      <c r="B295" t="s">
        <v>589</v>
      </c>
      <c r="C295" t="str">
        <f>IF(VLOOKUP(Table30[[#This Row],[bal_nr]],Table2[#All],3,FALSE)=0,"",VLOOKUP(Table30[[#This Row],[bal_nr]],Table2[#All],3,FALSE))</f>
        <v>3.7 Dienstverlening, onderwijs en zorg</v>
      </c>
      <c r="D295" t="str">
        <f>IF(VLOOKUP(Table30[[#This Row],[bal_nr]],Table2[#All],4,FALSE)=0,"",VLOOKUP(Table30[[#This Row],[bal_nr]],Table2[#All],4,FALSE))</f>
        <v>3.7.1 Bouwbedrijf, installatiebedrijf, grondbouwbedrijf, wegbouwbedrijf, waterbouwbedrijf en schildersbedrijf</v>
      </c>
      <c r="E295" t="str">
        <f>IF(VLOOKUP(Table30[[#This Row],[bal_nr]],Table2[#All],5,FALSE)=0,"",VLOOKUP(Table30[[#This Row],[bal_nr]],Table2[#All],5,FALSE))</f>
        <v/>
      </c>
      <c r="F295">
        <v>70</v>
      </c>
    </row>
    <row r="296" spans="1:6" x14ac:dyDescent="0.25">
      <c r="A296" s="1" t="s">
        <v>172</v>
      </c>
      <c r="B296" t="s">
        <v>590</v>
      </c>
      <c r="C296" t="str">
        <f>IF(VLOOKUP(Table30[[#This Row],[bal_nr]],Table2[#All],3,FALSE)=0,"",VLOOKUP(Table30[[#This Row],[bal_nr]],Table2[#All],3,FALSE))</f>
        <v>3.7 Dienstverlening, onderwijs en zorg</v>
      </c>
      <c r="D296" t="str">
        <f>IF(VLOOKUP(Table30[[#This Row],[bal_nr]],Table2[#All],4,FALSE)=0,"",VLOOKUP(Table30[[#This Row],[bal_nr]],Table2[#All],4,FALSE))</f>
        <v>3.7.1 Bouwbedrijf, installatiebedrijf, grondbouwbedrijf, wegbouwbedrijf, waterbouwbedrijf en schildersbedrijf</v>
      </c>
      <c r="E296" t="str">
        <f>IF(VLOOKUP(Table30[[#This Row],[bal_nr]],Table2[#All],5,FALSE)=0,"",VLOOKUP(Table30[[#This Row],[bal_nr]],Table2[#All],5,FALSE))</f>
        <v/>
      </c>
      <c r="F296">
        <v>70</v>
      </c>
    </row>
    <row r="297" spans="1:6" x14ac:dyDescent="0.25">
      <c r="A297" s="1" t="s">
        <v>173</v>
      </c>
      <c r="B297" t="s">
        <v>591</v>
      </c>
      <c r="C297" t="str">
        <f>IF(VLOOKUP(Table30[[#This Row],[bal_nr]],Table2[#All],3,FALSE)=0,"",VLOOKUP(Table30[[#This Row],[bal_nr]],Table2[#All],3,FALSE))</f>
        <v>3.7 Dienstverlening, onderwijs en zorg</v>
      </c>
      <c r="D297" t="str">
        <f>IF(VLOOKUP(Table30[[#This Row],[bal_nr]],Table2[#All],4,FALSE)=0,"",VLOOKUP(Table30[[#This Row],[bal_nr]],Table2[#All],4,FALSE))</f>
        <v>3.7.1 Bouwbedrijf, installatiebedrijf, grondbouwbedrijf, wegbouwbedrijf, waterbouwbedrijf en schildersbedrijf</v>
      </c>
      <c r="E297" t="str">
        <f>IF(VLOOKUP(Table30[[#This Row],[bal_nr]],Table2[#All],5,FALSE)=0,"",VLOOKUP(Table30[[#This Row],[bal_nr]],Table2[#All],5,FALSE))</f>
        <v/>
      </c>
      <c r="F297">
        <v>70</v>
      </c>
    </row>
    <row r="298" spans="1:6" x14ac:dyDescent="0.25">
      <c r="A298" s="1" t="s">
        <v>218</v>
      </c>
      <c r="B298" t="s">
        <v>211</v>
      </c>
      <c r="C298" t="str">
        <f>IF(VLOOKUP(Table30[[#This Row],[bal_nr]],Table2[#All],3,FALSE)=0,"",VLOOKUP(Table30[[#This Row],[bal_nr]],Table2[#All],3,FALSE))</f>
        <v>3.7 Dienstverlening, onderwijs en zorg</v>
      </c>
      <c r="D298" t="str">
        <f>IF(VLOOKUP(Table30[[#This Row],[bal_nr]],Table2[#All],4,FALSE)=0,"",VLOOKUP(Table30[[#This Row],[bal_nr]],Table2[#All],4,FALSE))</f>
        <v>3.7.10 Voorziening voor het oefenen van brandbestrijdingstechnieken</v>
      </c>
      <c r="E298" t="str">
        <f>IF(VLOOKUP(Table30[[#This Row],[bal_nr]],Table2[#All],5,FALSE)=0,"",VLOOKUP(Table30[[#This Row],[bal_nr]],Table2[#All],5,FALSE))</f>
        <v/>
      </c>
      <c r="F298">
        <v>71</v>
      </c>
    </row>
    <row r="299" spans="1:6" x14ac:dyDescent="0.25">
      <c r="A299" s="1" t="s">
        <v>226</v>
      </c>
      <c r="B299" t="s">
        <v>630</v>
      </c>
      <c r="C299" t="str">
        <f>IF(VLOOKUP(Table30[[#This Row],[bal_nr]],Table2[#All],3,FALSE)=0,"",VLOOKUP(Table30[[#This Row],[bal_nr]],Table2[#All],3,FALSE))</f>
        <v>3.7 Dienstverlening, onderwijs en zorg</v>
      </c>
      <c r="D299" t="str">
        <f>IF(VLOOKUP(Table30[[#This Row],[bal_nr]],Table2[#All],4,FALSE)=0,"",VLOOKUP(Table30[[#This Row],[bal_nr]],Table2[#All],4,FALSE))</f>
        <v>3.7.2 Chemische wasserij</v>
      </c>
      <c r="E299" t="str">
        <f>IF(VLOOKUP(Table30[[#This Row],[bal_nr]],Table2[#All],5,FALSE)=0,"",VLOOKUP(Table30[[#This Row],[bal_nr]],Table2[#All],5,FALSE))</f>
        <v/>
      </c>
      <c r="F299">
        <v>72</v>
      </c>
    </row>
    <row r="300" spans="1:6" x14ac:dyDescent="0.25">
      <c r="A300" s="1" t="s">
        <v>667</v>
      </c>
      <c r="B300" t="s">
        <v>631</v>
      </c>
      <c r="C300" t="str">
        <f>IF(VLOOKUP(Table30[[#This Row],[bal_nr]],Table2[#All],3,FALSE)=0,"",VLOOKUP(Table30[[#This Row],[bal_nr]],Table2[#All],3,FALSE))</f>
        <v>3.7 Dienstverlening, onderwijs en zorg</v>
      </c>
      <c r="D300" t="str">
        <f>IF(VLOOKUP(Table30[[#This Row],[bal_nr]],Table2[#All],4,FALSE)=0,"",VLOOKUP(Table30[[#This Row],[bal_nr]],Table2[#All],4,FALSE))</f>
        <v>3.7.2 Chemische wasserij</v>
      </c>
      <c r="E300" t="str">
        <f>IF(VLOOKUP(Table30[[#This Row],[bal_nr]],Table2[#All],5,FALSE)=0,"",VLOOKUP(Table30[[#This Row],[bal_nr]],Table2[#All],5,FALSE))</f>
        <v/>
      </c>
      <c r="F300">
        <v>72</v>
      </c>
    </row>
    <row r="301" spans="1:6" x14ac:dyDescent="0.25">
      <c r="A301" s="1" t="s">
        <v>668</v>
      </c>
      <c r="B301" t="s">
        <v>632</v>
      </c>
      <c r="C301" t="str">
        <f>IF(VLOOKUP(Table30[[#This Row],[bal_nr]],Table2[#All],3,FALSE)=0,"",VLOOKUP(Table30[[#This Row],[bal_nr]],Table2[#All],3,FALSE))</f>
        <v>3.7 Dienstverlening, onderwijs en zorg</v>
      </c>
      <c r="D301" t="str">
        <f>IF(VLOOKUP(Table30[[#This Row],[bal_nr]],Table2[#All],4,FALSE)=0,"",VLOOKUP(Table30[[#This Row],[bal_nr]],Table2[#All],4,FALSE))</f>
        <v>3.7.4 Crematorium</v>
      </c>
      <c r="E301" t="str">
        <f>IF(VLOOKUP(Table30[[#This Row],[bal_nr]],Table2[#All],5,FALSE)=0,"",VLOOKUP(Table30[[#This Row],[bal_nr]],Table2[#All],5,FALSE))</f>
        <v/>
      </c>
      <c r="F301">
        <v>73</v>
      </c>
    </row>
    <row r="302" spans="1:6" x14ac:dyDescent="0.25">
      <c r="A302" s="1" t="s">
        <v>214</v>
      </c>
      <c r="B302" t="s">
        <v>621</v>
      </c>
      <c r="C302" t="str">
        <f>IF(VLOOKUP(Table30[[#This Row],[bal_nr]],Table2[#All],3,FALSE)=0,"",VLOOKUP(Table30[[#This Row],[bal_nr]],Table2[#All],3,FALSE))</f>
        <v>3.7 Dienstverlening, onderwijs en zorg</v>
      </c>
      <c r="D302" t="str">
        <f>IF(VLOOKUP(Table30[[#This Row],[bal_nr]],Table2[#All],4,FALSE)=0,"",VLOOKUP(Table30[[#This Row],[bal_nr]],Table2[#All],4,FALSE))</f>
        <v>3.7.5 Laboratorium</v>
      </c>
      <c r="E302" t="str">
        <f>IF(VLOOKUP(Table30[[#This Row],[bal_nr]],Table2[#All],5,FALSE)=0,"",VLOOKUP(Table30[[#This Row],[bal_nr]],Table2[#All],5,FALSE))</f>
        <v/>
      </c>
      <c r="F302">
        <v>74</v>
      </c>
    </row>
    <row r="303" spans="1:6" x14ac:dyDescent="0.25">
      <c r="A303" s="1" t="s">
        <v>215</v>
      </c>
      <c r="B303" t="s">
        <v>622</v>
      </c>
      <c r="C303" t="str">
        <f>IF(VLOOKUP(Table30[[#This Row],[bal_nr]],Table2[#All],3,FALSE)=0,"",VLOOKUP(Table30[[#This Row],[bal_nr]],Table2[#All],3,FALSE))</f>
        <v>3.7 Dienstverlening, onderwijs en zorg</v>
      </c>
      <c r="D303" t="str">
        <f>IF(VLOOKUP(Table30[[#This Row],[bal_nr]],Table2[#All],4,FALSE)=0,"",VLOOKUP(Table30[[#This Row],[bal_nr]],Table2[#All],4,FALSE))</f>
        <v>3.7.5 Laboratorium</v>
      </c>
      <c r="E303" t="str">
        <f>IF(VLOOKUP(Table30[[#This Row],[bal_nr]],Table2[#All],5,FALSE)=0,"",VLOOKUP(Table30[[#This Row],[bal_nr]],Table2[#All],5,FALSE))</f>
        <v/>
      </c>
      <c r="F303">
        <v>74</v>
      </c>
    </row>
    <row r="304" spans="1:6" x14ac:dyDescent="0.25">
      <c r="A304" s="1" t="s">
        <v>216</v>
      </c>
      <c r="B304" t="s">
        <v>623</v>
      </c>
      <c r="C304" t="str">
        <f>IF(VLOOKUP(Table30[[#This Row],[bal_nr]],Table2[#All],3,FALSE)=0,"",VLOOKUP(Table30[[#This Row],[bal_nr]],Table2[#All],3,FALSE))</f>
        <v>3.7 Dienstverlening, onderwijs en zorg</v>
      </c>
      <c r="D304" t="str">
        <f>IF(VLOOKUP(Table30[[#This Row],[bal_nr]],Table2[#All],4,FALSE)=0,"",VLOOKUP(Table30[[#This Row],[bal_nr]],Table2[#All],4,FALSE))</f>
        <v>3.7.7 Onderhoud van de openbare ruimte</v>
      </c>
      <c r="E304" t="str">
        <f>IF(VLOOKUP(Table30[[#This Row],[bal_nr]],Table2[#All],5,FALSE)=0,"",VLOOKUP(Table30[[#This Row],[bal_nr]],Table2[#All],5,FALSE))</f>
        <v/>
      </c>
      <c r="F304">
        <v>75</v>
      </c>
    </row>
    <row r="305" spans="1:6" x14ac:dyDescent="0.25">
      <c r="A305" s="1" t="s">
        <v>149</v>
      </c>
      <c r="B305" t="s">
        <v>570</v>
      </c>
      <c r="C305" t="str">
        <f>IF(VLOOKUP(Table30[[#This Row],[bal_nr]],Table2[#All],3,FALSE)=0,"",VLOOKUP(Table30[[#This Row],[bal_nr]],Table2[#All],3,FALSE))</f>
        <v>3.7 Dienstverlening, onderwijs en zorg</v>
      </c>
      <c r="D305" t="str">
        <f>IF(VLOOKUP(Table30[[#This Row],[bal_nr]],Table2[#All],4,FALSE)=0,"",VLOOKUP(Table30[[#This Row],[bal_nr]],Table2[#All],4,FALSE))</f>
        <v>3.7.8 Repareren en verhuren van gemotoriseerde werktuigen</v>
      </c>
      <c r="E305" t="str">
        <f>IF(VLOOKUP(Table30[[#This Row],[bal_nr]],Table2[#All],5,FALSE)=0,"",VLOOKUP(Table30[[#This Row],[bal_nr]],Table2[#All],5,FALSE))</f>
        <v/>
      </c>
      <c r="F305">
        <v>76</v>
      </c>
    </row>
    <row r="306" spans="1:6" x14ac:dyDescent="0.25">
      <c r="A306" s="1" t="s">
        <v>151</v>
      </c>
      <c r="B306" t="s">
        <v>572</v>
      </c>
      <c r="C306" t="str">
        <f>IF(VLOOKUP(Table30[[#This Row],[bal_nr]],Table2[#All],3,FALSE)=0,"",VLOOKUP(Table30[[#This Row],[bal_nr]],Table2[#All],3,FALSE))</f>
        <v>3.7 Dienstverlening, onderwijs en zorg</v>
      </c>
      <c r="D306" t="str">
        <f>IF(VLOOKUP(Table30[[#This Row],[bal_nr]],Table2[#All],4,FALSE)=0,"",VLOOKUP(Table30[[#This Row],[bal_nr]],Table2[#All],4,FALSE))</f>
        <v>3.7.8 Repareren en verhuren van gemotoriseerde werktuigen</v>
      </c>
      <c r="E306" t="str">
        <f>IF(VLOOKUP(Table30[[#This Row],[bal_nr]],Table2[#All],5,FALSE)=0,"",VLOOKUP(Table30[[#This Row],[bal_nr]],Table2[#All],5,FALSE))</f>
        <v/>
      </c>
      <c r="F306">
        <v>76</v>
      </c>
    </row>
    <row r="307" spans="1:6" x14ac:dyDescent="0.25">
      <c r="A307" s="1" t="s">
        <v>181</v>
      </c>
      <c r="B307" t="s">
        <v>595</v>
      </c>
      <c r="C307" t="str">
        <f>IF(VLOOKUP(Table30[[#This Row],[bal_nr]],Table2[#All],3,FALSE)=0,"",VLOOKUP(Table30[[#This Row],[bal_nr]],Table2[#All],3,FALSE))</f>
        <v>3.7 Dienstverlening, onderwijs en zorg</v>
      </c>
      <c r="D307" t="str">
        <f>IF(VLOOKUP(Table30[[#This Row],[bal_nr]],Table2[#All],4,FALSE)=0,"",VLOOKUP(Table30[[#This Row],[bal_nr]],Table2[#All],4,FALSE))</f>
        <v>3.7.8 Repareren en verhuren van gemotoriseerde werktuigen</v>
      </c>
      <c r="E307" t="str">
        <f>IF(VLOOKUP(Table30[[#This Row],[bal_nr]],Table2[#All],5,FALSE)=0,"",VLOOKUP(Table30[[#This Row],[bal_nr]],Table2[#All],5,FALSE))</f>
        <v/>
      </c>
      <c r="F307">
        <v>76</v>
      </c>
    </row>
    <row r="308" spans="1:6" x14ac:dyDescent="0.25">
      <c r="A308" s="1" t="s">
        <v>222</v>
      </c>
      <c r="B308" t="s">
        <v>212</v>
      </c>
      <c r="C308" t="str">
        <f>IF(VLOOKUP(Table30[[#This Row],[bal_nr]],Table2[#All],3,FALSE)=0,"",VLOOKUP(Table30[[#This Row],[bal_nr]],Table2[#All],3,FALSE))</f>
        <v>3.7 Dienstverlening, onderwijs en zorg</v>
      </c>
      <c r="D308" t="str">
        <f>IF(VLOOKUP(Table30[[#This Row],[bal_nr]],Table2[#All],4,FALSE)=0,"",VLOOKUP(Table30[[#This Row],[bal_nr]],Table2[#All],4,FALSE))</f>
        <v>3.7.9 Ziekenhuis</v>
      </c>
      <c r="E308" t="str">
        <f>IF(VLOOKUP(Table30[[#This Row],[bal_nr]],Table2[#All],5,FALSE)=0,"",VLOOKUP(Table30[[#This Row],[bal_nr]],Table2[#All],5,FALSE))</f>
        <v/>
      </c>
      <c r="F308">
        <v>77</v>
      </c>
    </row>
    <row r="309" spans="1:6" x14ac:dyDescent="0.25">
      <c r="A309" s="1" t="s">
        <v>193</v>
      </c>
      <c r="B309" t="s">
        <v>607</v>
      </c>
      <c r="C309" t="str">
        <f>IF(VLOOKUP(Table30[[#This Row],[bal_nr]],Table2[#All],3,FALSE)=0,"",VLOOKUP(Table30[[#This Row],[bal_nr]],Table2[#All],3,FALSE))</f>
        <v>3.8 Transport, logistiek en ondersteuning daarvan</v>
      </c>
      <c r="D309" t="str">
        <f>IF(VLOOKUP(Table30[[#This Row],[bal_nr]],Table2[#All],4,FALSE)=0,"",VLOOKUP(Table30[[#This Row],[bal_nr]],Table2[#All],4,FALSE))</f>
        <v>3.8.2 Brandstoffenhandel en tankopslagbedrijf</v>
      </c>
      <c r="E309" t="str">
        <f>IF(VLOOKUP(Table30[[#This Row],[bal_nr]],Table2[#All],5,FALSE)=0,"",VLOOKUP(Table30[[#This Row],[bal_nr]],Table2[#All],5,FALSE))</f>
        <v/>
      </c>
      <c r="F309">
        <v>79</v>
      </c>
    </row>
    <row r="310" spans="1:6" x14ac:dyDescent="0.25">
      <c r="A310" s="1" t="s">
        <v>133</v>
      </c>
      <c r="B310" t="s">
        <v>556</v>
      </c>
      <c r="C310" t="str">
        <f>IF(VLOOKUP(Table30[[#This Row],[bal_nr]],Table2[#All],3,FALSE)=0,"",VLOOKUP(Table30[[#This Row],[bal_nr]],Table2[#All],3,FALSE))</f>
        <v>3.8 Transport, logistiek en ondersteuning daarvan</v>
      </c>
      <c r="D310" t="str">
        <f>IF(VLOOKUP(Table30[[#This Row],[bal_nr]],Table2[#All],4,FALSE)=0,"",VLOOKUP(Table30[[#This Row],[bal_nr]],Table2[#All],4,FALSE))</f>
        <v>3.8.4 Garage, autoschadeherstelbedrijf, autowasstraat en carrosseriebouw</v>
      </c>
      <c r="E310" t="str">
        <f>IF(VLOOKUP(Table30[[#This Row],[bal_nr]],Table2[#All],5,FALSE)=0,"",VLOOKUP(Table30[[#This Row],[bal_nr]],Table2[#All],5,FALSE))</f>
        <v/>
      </c>
      <c r="F310">
        <v>80</v>
      </c>
    </row>
    <row r="311" spans="1:6" ht="75" x14ac:dyDescent="0.25">
      <c r="A311" s="1" t="s">
        <v>134</v>
      </c>
      <c r="B311" s="2" t="s">
        <v>633</v>
      </c>
      <c r="C311" t="str">
        <f>IF(VLOOKUP(Table30[[#This Row],[bal_nr]],Table2[#All],3,FALSE)=0,"",VLOOKUP(Table30[[#This Row],[bal_nr]],Table2[#All],3,FALSE))</f>
        <v>3.8 Transport, logistiek en ondersteuning daarvan</v>
      </c>
      <c r="D311" t="str">
        <f>IF(VLOOKUP(Table30[[#This Row],[bal_nr]],Table2[#All],4,FALSE)=0,"",VLOOKUP(Table30[[#This Row],[bal_nr]],Table2[#All],4,FALSE))</f>
        <v>3.8.4 Garage, autoschadeherstelbedrijf, autowasstraat en carrosseriebouw</v>
      </c>
      <c r="E311" t="str">
        <f>IF(VLOOKUP(Table30[[#This Row],[bal_nr]],Table2[#All],5,FALSE)=0,"",VLOOKUP(Table30[[#This Row],[bal_nr]],Table2[#All],5,FALSE))</f>
        <v/>
      </c>
      <c r="F311">
        <v>80</v>
      </c>
    </row>
    <row r="312" spans="1:6" x14ac:dyDescent="0.25">
      <c r="A312" s="1" t="s">
        <v>174</v>
      </c>
      <c r="B312" t="s">
        <v>592</v>
      </c>
      <c r="C312" t="str">
        <f>IF(VLOOKUP(Table30[[#This Row],[bal_nr]],Table2[#All],3,FALSE)=0,"",VLOOKUP(Table30[[#This Row],[bal_nr]],Table2[#All],3,FALSE))</f>
        <v>3.8 Transport, logistiek en ondersteuning daarvan</v>
      </c>
      <c r="D312" t="str">
        <f>IF(VLOOKUP(Table30[[#This Row],[bal_nr]],Table2[#All],4,FALSE)=0,"",VLOOKUP(Table30[[#This Row],[bal_nr]],Table2[#All],4,FALSE))</f>
        <v>3.8.4 Garage, autoschadeherstelbedrijf, autowasstraat en carrosseriebouw</v>
      </c>
      <c r="E312" t="str">
        <f>IF(VLOOKUP(Table30[[#This Row],[bal_nr]],Table2[#All],5,FALSE)=0,"",VLOOKUP(Table30[[#This Row],[bal_nr]],Table2[#All],5,FALSE))</f>
        <v/>
      </c>
      <c r="F312">
        <v>80</v>
      </c>
    </row>
    <row r="313" spans="1:6" x14ac:dyDescent="0.25">
      <c r="A313" s="1" t="s">
        <v>179</v>
      </c>
      <c r="B313" t="s">
        <v>593</v>
      </c>
      <c r="C313" t="str">
        <f>IF(VLOOKUP(Table30[[#This Row],[bal_nr]],Table2[#All],3,FALSE)=0,"",VLOOKUP(Table30[[#This Row],[bal_nr]],Table2[#All],3,FALSE))</f>
        <v>3.8 Transport, logistiek en ondersteuning daarvan</v>
      </c>
      <c r="D313" t="str">
        <f>IF(VLOOKUP(Table30[[#This Row],[bal_nr]],Table2[#All],4,FALSE)=0,"",VLOOKUP(Table30[[#This Row],[bal_nr]],Table2[#All],4,FALSE))</f>
        <v>3.8.4 Garage, autoschadeherstelbedrijf, autowasstraat en carrosseriebouw</v>
      </c>
      <c r="E313" t="str">
        <f>IF(VLOOKUP(Table30[[#This Row],[bal_nr]],Table2[#All],5,FALSE)=0,"",VLOOKUP(Table30[[#This Row],[bal_nr]],Table2[#All],5,FALSE))</f>
        <v/>
      </c>
      <c r="F313">
        <v>80</v>
      </c>
    </row>
    <row r="314" spans="1:6" x14ac:dyDescent="0.25">
      <c r="A314" s="1" t="s">
        <v>181</v>
      </c>
      <c r="B314" t="s">
        <v>595</v>
      </c>
      <c r="C314" t="str">
        <f>IF(VLOOKUP(Table30[[#This Row],[bal_nr]],Table2[#All],3,FALSE)=0,"",VLOOKUP(Table30[[#This Row],[bal_nr]],Table2[#All],3,FALSE))</f>
        <v>3.8 Transport, logistiek en ondersteuning daarvan</v>
      </c>
      <c r="D314" t="str">
        <f>IF(VLOOKUP(Table30[[#This Row],[bal_nr]],Table2[#All],4,FALSE)=0,"",VLOOKUP(Table30[[#This Row],[bal_nr]],Table2[#All],4,FALSE))</f>
        <v>3.8.4 Garage, autoschadeherstelbedrijf, autowasstraat en carrosseriebouw</v>
      </c>
      <c r="E314" t="str">
        <f>IF(VLOOKUP(Table30[[#This Row],[bal_nr]],Table2[#All],5,FALSE)=0,"",VLOOKUP(Table30[[#This Row],[bal_nr]],Table2[#All],5,FALSE))</f>
        <v/>
      </c>
      <c r="F314">
        <v>80</v>
      </c>
    </row>
    <row r="315" spans="1:6" x14ac:dyDescent="0.25">
      <c r="A315" s="1" t="s">
        <v>174</v>
      </c>
      <c r="B315" t="s">
        <v>592</v>
      </c>
      <c r="C315" t="str">
        <f>IF(VLOOKUP(Table30[[#This Row],[bal_nr]],Table2[#All],3,FALSE)=0,"",VLOOKUP(Table30[[#This Row],[bal_nr]],Table2[#All],3,FALSE))</f>
        <v>3.8 Transport, logistiek en ondersteuning daarvan</v>
      </c>
      <c r="D315" t="str">
        <f>IF(VLOOKUP(Table30[[#This Row],[bal_nr]],Table2[#All],4,FALSE)=0,"",VLOOKUP(Table30[[#This Row],[bal_nr]],Table2[#All],4,FALSE))</f>
        <v>3.8.5 Motorrevisiebedrijf</v>
      </c>
      <c r="E315" t="str">
        <f>IF(VLOOKUP(Table30[[#This Row],[bal_nr]],Table2[#All],5,FALSE)=0,"",VLOOKUP(Table30[[#This Row],[bal_nr]],Table2[#All],5,FALSE))</f>
        <v/>
      </c>
      <c r="F315">
        <v>81</v>
      </c>
    </row>
    <row r="316" spans="1:6" x14ac:dyDescent="0.25">
      <c r="A316" s="1" t="s">
        <v>174</v>
      </c>
      <c r="B316" t="s">
        <v>592</v>
      </c>
      <c r="C316" t="str">
        <f>IF(VLOOKUP(Table30[[#This Row],[bal_nr]],Table2[#All],3,FALSE)=0,"",VLOOKUP(Table30[[#This Row],[bal_nr]],Table2[#All],3,FALSE))</f>
        <v>3.8 Transport, logistiek en ondersteuning daarvan</v>
      </c>
      <c r="D316" t="str">
        <f>IF(VLOOKUP(Table30[[#This Row],[bal_nr]],Table2[#All],4,FALSE)=0,"",VLOOKUP(Table30[[#This Row],[bal_nr]],Table2[#All],4,FALSE))</f>
        <v>3.8.6 Opslag- en transportbedrijf, groothandel en containerterminal</v>
      </c>
      <c r="E316" t="str">
        <f>IF(VLOOKUP(Table30[[#This Row],[bal_nr]],Table2[#All],5,FALSE)=0,"",VLOOKUP(Table30[[#This Row],[bal_nr]],Table2[#All],5,FALSE))</f>
        <v/>
      </c>
      <c r="F316">
        <v>82</v>
      </c>
    </row>
    <row r="317" spans="1:6" x14ac:dyDescent="0.25">
      <c r="A317" s="1" t="s">
        <v>179</v>
      </c>
      <c r="B317" t="s">
        <v>593</v>
      </c>
      <c r="C317" t="str">
        <f>IF(VLOOKUP(Table30[[#This Row],[bal_nr]],Table2[#All],3,FALSE)=0,"",VLOOKUP(Table30[[#This Row],[bal_nr]],Table2[#All],3,FALSE))</f>
        <v>3.8 Transport, logistiek en ondersteuning daarvan</v>
      </c>
      <c r="D317" t="str">
        <f>IF(VLOOKUP(Table30[[#This Row],[bal_nr]],Table2[#All],4,FALSE)=0,"",VLOOKUP(Table30[[#This Row],[bal_nr]],Table2[#All],4,FALSE))</f>
        <v>3.8.6 Opslag- en transportbedrijf, groothandel en containerterminal</v>
      </c>
      <c r="E317" t="str">
        <f>IF(VLOOKUP(Table30[[#This Row],[bal_nr]],Table2[#All],5,FALSE)=0,"",VLOOKUP(Table30[[#This Row],[bal_nr]],Table2[#All],5,FALSE))</f>
        <v/>
      </c>
      <c r="F317">
        <v>82</v>
      </c>
    </row>
    <row r="318" spans="1:6" x14ac:dyDescent="0.25">
      <c r="A318" s="1" t="s">
        <v>180</v>
      </c>
      <c r="B318" t="s">
        <v>594</v>
      </c>
      <c r="C318" t="str">
        <f>IF(VLOOKUP(Table30[[#This Row],[bal_nr]],Table2[#All],3,FALSE)=0,"",VLOOKUP(Table30[[#This Row],[bal_nr]],Table2[#All],3,FALSE))</f>
        <v>3.8 Transport, logistiek en ondersteuning daarvan</v>
      </c>
      <c r="D318" t="str">
        <f>IF(VLOOKUP(Table30[[#This Row],[bal_nr]],Table2[#All],4,FALSE)=0,"",VLOOKUP(Table30[[#This Row],[bal_nr]],Table2[#All],4,FALSE))</f>
        <v>3.8.6 Opslag- en transportbedrijf, groothandel en containerterminal</v>
      </c>
      <c r="E318" t="str">
        <f>IF(VLOOKUP(Table30[[#This Row],[bal_nr]],Table2[#All],5,FALSE)=0,"",VLOOKUP(Table30[[#This Row],[bal_nr]],Table2[#All],5,FALSE))</f>
        <v/>
      </c>
      <c r="F318">
        <v>82</v>
      </c>
    </row>
    <row r="319" spans="1:6" x14ac:dyDescent="0.25">
      <c r="A319" s="1" t="s">
        <v>182</v>
      </c>
      <c r="B319" t="s">
        <v>596</v>
      </c>
      <c r="C319" t="str">
        <f>IF(VLOOKUP(Table30[[#This Row],[bal_nr]],Table2[#All],3,FALSE)=0,"",VLOOKUP(Table30[[#This Row],[bal_nr]],Table2[#All],3,FALSE))</f>
        <v>3.8 Transport, logistiek en ondersteuning daarvan</v>
      </c>
      <c r="D319" t="str">
        <f>IF(VLOOKUP(Table30[[#This Row],[bal_nr]],Table2[#All],4,FALSE)=0,"",VLOOKUP(Table30[[#This Row],[bal_nr]],Table2[#All],4,FALSE))</f>
        <v>3.8.6 Opslag- en transportbedrijf, groothandel en containerterminal</v>
      </c>
      <c r="E319" t="str">
        <f>IF(VLOOKUP(Table30[[#This Row],[bal_nr]],Table2[#All],5,FALSE)=0,"",VLOOKUP(Table30[[#This Row],[bal_nr]],Table2[#All],5,FALSE))</f>
        <v/>
      </c>
      <c r="F319">
        <v>82</v>
      </c>
    </row>
    <row r="320" spans="1:6" x14ac:dyDescent="0.25">
      <c r="A320" s="1" t="s">
        <v>183</v>
      </c>
      <c r="B320" t="s">
        <v>597</v>
      </c>
      <c r="C320" t="str">
        <f>IF(VLOOKUP(Table30[[#This Row],[bal_nr]],Table2[#All],3,FALSE)=0,"",VLOOKUP(Table30[[#This Row],[bal_nr]],Table2[#All],3,FALSE))</f>
        <v>3.8 Transport, logistiek en ondersteuning daarvan</v>
      </c>
      <c r="D320" t="str">
        <f>IF(VLOOKUP(Table30[[#This Row],[bal_nr]],Table2[#All],4,FALSE)=0,"",VLOOKUP(Table30[[#This Row],[bal_nr]],Table2[#All],4,FALSE))</f>
        <v>3.8.6 Opslag- en transportbedrijf, groothandel en containerterminal</v>
      </c>
      <c r="E320" t="str">
        <f>IF(VLOOKUP(Table30[[#This Row],[bal_nr]],Table2[#All],5,FALSE)=0,"",VLOOKUP(Table30[[#This Row],[bal_nr]],Table2[#All],5,FALSE))</f>
        <v/>
      </c>
      <c r="F320">
        <v>82</v>
      </c>
    </row>
    <row r="321" spans="1:6" x14ac:dyDescent="0.25">
      <c r="A321" s="1" t="s">
        <v>184</v>
      </c>
      <c r="B321" t="s">
        <v>598</v>
      </c>
      <c r="C321" t="str">
        <f>IF(VLOOKUP(Table30[[#This Row],[bal_nr]],Table2[#All],3,FALSE)=0,"",VLOOKUP(Table30[[#This Row],[bal_nr]],Table2[#All],3,FALSE))</f>
        <v>3.8 Transport, logistiek en ondersteuning daarvan</v>
      </c>
      <c r="D321" t="str">
        <f>IF(VLOOKUP(Table30[[#This Row],[bal_nr]],Table2[#All],4,FALSE)=0,"",VLOOKUP(Table30[[#This Row],[bal_nr]],Table2[#All],4,FALSE))</f>
        <v>3.8.6 Opslag- en transportbedrijf, groothandel en containerterminal</v>
      </c>
      <c r="E321" t="str">
        <f>IF(VLOOKUP(Table30[[#This Row],[bal_nr]],Table2[#All],5,FALSE)=0,"",VLOOKUP(Table30[[#This Row],[bal_nr]],Table2[#All],5,FALSE))</f>
        <v/>
      </c>
      <c r="F321">
        <v>82</v>
      </c>
    </row>
    <row r="322" spans="1:6" x14ac:dyDescent="0.25">
      <c r="A322" s="1" t="s">
        <v>185</v>
      </c>
      <c r="B322" t="s">
        <v>599</v>
      </c>
      <c r="C322" t="str">
        <f>IF(VLOOKUP(Table30[[#This Row],[bal_nr]],Table2[#All],3,FALSE)=0,"",VLOOKUP(Table30[[#This Row],[bal_nr]],Table2[#All],3,FALSE))</f>
        <v>3.8 Transport, logistiek en ondersteuning daarvan</v>
      </c>
      <c r="D322" t="str">
        <f>IF(VLOOKUP(Table30[[#This Row],[bal_nr]],Table2[#All],4,FALSE)=0,"",VLOOKUP(Table30[[#This Row],[bal_nr]],Table2[#All],4,FALSE))</f>
        <v>3.8.6 Opslag- en transportbedrijf, groothandel en containerterminal</v>
      </c>
      <c r="E322" t="str">
        <f>IF(VLOOKUP(Table30[[#This Row],[bal_nr]],Table2[#All],5,FALSE)=0,"",VLOOKUP(Table30[[#This Row],[bal_nr]],Table2[#All],5,FALSE))</f>
        <v/>
      </c>
      <c r="F322">
        <v>82</v>
      </c>
    </row>
    <row r="323" spans="1:6" x14ac:dyDescent="0.25">
      <c r="A323" s="1" t="s">
        <v>186</v>
      </c>
      <c r="B323" t="s">
        <v>600</v>
      </c>
      <c r="C323" t="str">
        <f>IF(VLOOKUP(Table30[[#This Row],[bal_nr]],Table2[#All],3,FALSE)=0,"",VLOOKUP(Table30[[#This Row],[bal_nr]],Table2[#All],3,FALSE))</f>
        <v>3.8 Transport, logistiek en ondersteuning daarvan</v>
      </c>
      <c r="D323" t="str">
        <f>IF(VLOOKUP(Table30[[#This Row],[bal_nr]],Table2[#All],4,FALSE)=0,"",VLOOKUP(Table30[[#This Row],[bal_nr]],Table2[#All],4,FALSE))</f>
        <v>3.8.6 Opslag- en transportbedrijf, groothandel en containerterminal</v>
      </c>
      <c r="E323" t="str">
        <f>IF(VLOOKUP(Table30[[#This Row],[bal_nr]],Table2[#All],5,FALSE)=0,"",VLOOKUP(Table30[[#This Row],[bal_nr]],Table2[#All],5,FALSE))</f>
        <v/>
      </c>
      <c r="F323">
        <v>82</v>
      </c>
    </row>
    <row r="324" spans="1:6" x14ac:dyDescent="0.25">
      <c r="A324" s="1" t="s">
        <v>187</v>
      </c>
      <c r="B324" t="s">
        <v>601</v>
      </c>
      <c r="C324" t="str">
        <f>IF(VLOOKUP(Table30[[#This Row],[bal_nr]],Table2[#All],3,FALSE)=0,"",VLOOKUP(Table30[[#This Row],[bal_nr]],Table2[#All],3,FALSE))</f>
        <v>3.8 Transport, logistiek en ondersteuning daarvan</v>
      </c>
      <c r="D324" t="str">
        <f>IF(VLOOKUP(Table30[[#This Row],[bal_nr]],Table2[#All],4,FALSE)=0,"",VLOOKUP(Table30[[#This Row],[bal_nr]],Table2[#All],4,FALSE))</f>
        <v>3.8.6 Opslag- en transportbedrijf, groothandel en containerterminal</v>
      </c>
      <c r="E324" t="str">
        <f>IF(VLOOKUP(Table30[[#This Row],[bal_nr]],Table2[#All],5,FALSE)=0,"",VLOOKUP(Table30[[#This Row],[bal_nr]],Table2[#All],5,FALSE))</f>
        <v/>
      </c>
      <c r="F324">
        <v>82</v>
      </c>
    </row>
    <row r="325" spans="1:6" x14ac:dyDescent="0.25">
      <c r="A325" s="1" t="s">
        <v>188</v>
      </c>
      <c r="B325" t="s">
        <v>602</v>
      </c>
      <c r="C325" t="str">
        <f>IF(VLOOKUP(Table30[[#This Row],[bal_nr]],Table2[#All],3,FALSE)=0,"",VLOOKUP(Table30[[#This Row],[bal_nr]],Table2[#All],3,FALSE))</f>
        <v>3.8 Transport, logistiek en ondersteuning daarvan</v>
      </c>
      <c r="D325" t="str">
        <f>IF(VLOOKUP(Table30[[#This Row],[bal_nr]],Table2[#All],4,FALSE)=0,"",VLOOKUP(Table30[[#This Row],[bal_nr]],Table2[#All],4,FALSE))</f>
        <v>3.8.6 Opslag- en transportbedrijf, groothandel en containerterminal</v>
      </c>
      <c r="E325" t="str">
        <f>IF(VLOOKUP(Table30[[#This Row],[bal_nr]],Table2[#All],5,FALSE)=0,"",VLOOKUP(Table30[[#This Row],[bal_nr]],Table2[#All],5,FALSE))</f>
        <v/>
      </c>
      <c r="F325">
        <v>82</v>
      </c>
    </row>
    <row r="326" spans="1:6" x14ac:dyDescent="0.25">
      <c r="A326" s="1" t="s">
        <v>189</v>
      </c>
      <c r="B326" t="s">
        <v>603</v>
      </c>
      <c r="C326" t="str">
        <f>IF(VLOOKUP(Table30[[#This Row],[bal_nr]],Table2[#All],3,FALSE)=0,"",VLOOKUP(Table30[[#This Row],[bal_nr]],Table2[#All],3,FALSE))</f>
        <v>3.8 Transport, logistiek en ondersteuning daarvan</v>
      </c>
      <c r="D326" t="str">
        <f>IF(VLOOKUP(Table30[[#This Row],[bal_nr]],Table2[#All],4,FALSE)=0,"",VLOOKUP(Table30[[#This Row],[bal_nr]],Table2[#All],4,FALSE))</f>
        <v>3.8.6 Opslag- en transportbedrijf, groothandel en containerterminal</v>
      </c>
      <c r="E326" t="str">
        <f>IF(VLOOKUP(Table30[[#This Row],[bal_nr]],Table2[#All],5,FALSE)=0,"",VLOOKUP(Table30[[#This Row],[bal_nr]],Table2[#All],5,FALSE))</f>
        <v/>
      </c>
      <c r="F326">
        <v>82</v>
      </c>
    </row>
    <row r="327" spans="1:6" x14ac:dyDescent="0.25">
      <c r="A327" s="1" t="s">
        <v>190</v>
      </c>
      <c r="B327" t="s">
        <v>604</v>
      </c>
      <c r="C327" t="str">
        <f>IF(VLOOKUP(Table30[[#This Row],[bal_nr]],Table2[#All],3,FALSE)=0,"",VLOOKUP(Table30[[#This Row],[bal_nr]],Table2[#All],3,FALSE))</f>
        <v>3.8 Transport, logistiek en ondersteuning daarvan</v>
      </c>
      <c r="D327" t="str">
        <f>IF(VLOOKUP(Table30[[#This Row],[bal_nr]],Table2[#All],4,FALSE)=0,"",VLOOKUP(Table30[[#This Row],[bal_nr]],Table2[#All],4,FALSE))</f>
        <v>3.8.6 Opslag- en transportbedrijf, groothandel en containerterminal</v>
      </c>
      <c r="E327" t="str">
        <f>IF(VLOOKUP(Table30[[#This Row],[bal_nr]],Table2[#All],5,FALSE)=0,"",VLOOKUP(Table30[[#This Row],[bal_nr]],Table2[#All],5,FALSE))</f>
        <v/>
      </c>
      <c r="F327">
        <v>82</v>
      </c>
    </row>
    <row r="328" spans="1:6" x14ac:dyDescent="0.25">
      <c r="A328" s="1" t="s">
        <v>191</v>
      </c>
      <c r="B328" t="s">
        <v>605</v>
      </c>
      <c r="C328" t="str">
        <f>IF(VLOOKUP(Table30[[#This Row],[bal_nr]],Table2[#All],3,FALSE)=0,"",VLOOKUP(Table30[[#This Row],[bal_nr]],Table2[#All],3,FALSE))</f>
        <v>3.8 Transport, logistiek en ondersteuning daarvan</v>
      </c>
      <c r="D328" t="str">
        <f>IF(VLOOKUP(Table30[[#This Row],[bal_nr]],Table2[#All],4,FALSE)=0,"",VLOOKUP(Table30[[#This Row],[bal_nr]],Table2[#All],4,FALSE))</f>
        <v>3.8.6 Opslag- en transportbedrijf, groothandel en containerterminal</v>
      </c>
      <c r="E328" t="str">
        <f>IF(VLOOKUP(Table30[[#This Row],[bal_nr]],Table2[#All],5,FALSE)=0,"",VLOOKUP(Table30[[#This Row],[bal_nr]],Table2[#All],5,FALSE))</f>
        <v/>
      </c>
      <c r="F328">
        <v>82</v>
      </c>
    </row>
    <row r="329" spans="1:6" x14ac:dyDescent="0.25">
      <c r="A329" s="1" t="s">
        <v>192</v>
      </c>
      <c r="B329" t="s">
        <v>606</v>
      </c>
      <c r="C329" t="str">
        <f>IF(VLOOKUP(Table30[[#This Row],[bal_nr]],Table2[#All],3,FALSE)=0,"",VLOOKUP(Table30[[#This Row],[bal_nr]],Table2[#All],3,FALSE))</f>
        <v>3.8 Transport, logistiek en ondersteuning daarvan</v>
      </c>
      <c r="D329" t="str">
        <f>IF(VLOOKUP(Table30[[#This Row],[bal_nr]],Table2[#All],4,FALSE)=0,"",VLOOKUP(Table30[[#This Row],[bal_nr]],Table2[#All],4,FALSE))</f>
        <v>3.8.6 Opslag- en transportbedrijf, groothandel en containerterminal</v>
      </c>
      <c r="E329" t="str">
        <f>IF(VLOOKUP(Table30[[#This Row],[bal_nr]],Table2[#All],5,FALSE)=0,"",VLOOKUP(Table30[[#This Row],[bal_nr]],Table2[#All],5,FALSE))</f>
        <v/>
      </c>
      <c r="F329">
        <v>82</v>
      </c>
    </row>
    <row r="330" spans="1:6" x14ac:dyDescent="0.25">
      <c r="A330" s="1" t="s">
        <v>194</v>
      </c>
      <c r="B330" t="s">
        <v>608</v>
      </c>
      <c r="C330" t="str">
        <f>IF(VLOOKUP(Table30[[#This Row],[bal_nr]],Table2[#All],3,FALSE)=0,"",VLOOKUP(Table30[[#This Row],[bal_nr]],Table2[#All],3,FALSE))</f>
        <v>3.8 Transport, logistiek en ondersteuning daarvan</v>
      </c>
      <c r="D330" t="str">
        <f>IF(VLOOKUP(Table30[[#This Row],[bal_nr]],Table2[#All],4,FALSE)=0,"",VLOOKUP(Table30[[#This Row],[bal_nr]],Table2[#All],4,FALSE))</f>
        <v>3.8.6 Opslag- en transportbedrijf, groothandel en containerterminal</v>
      </c>
      <c r="E330" t="str">
        <f>IF(VLOOKUP(Table30[[#This Row],[bal_nr]],Table2[#All],5,FALSE)=0,"",VLOOKUP(Table30[[#This Row],[bal_nr]],Table2[#All],5,FALSE))</f>
        <v/>
      </c>
      <c r="F330">
        <v>82</v>
      </c>
    </row>
    <row r="331" spans="1:6" x14ac:dyDescent="0.25">
      <c r="A331" s="1" t="s">
        <v>195</v>
      </c>
      <c r="B331" t="s">
        <v>609</v>
      </c>
      <c r="C331" t="str">
        <f>IF(VLOOKUP(Table30[[#This Row],[bal_nr]],Table2[#All],3,FALSE)=0,"",VLOOKUP(Table30[[#This Row],[bal_nr]],Table2[#All],3,FALSE))</f>
        <v>3.8 Transport, logistiek en ondersteuning daarvan</v>
      </c>
      <c r="D331" t="str">
        <f>IF(VLOOKUP(Table30[[#This Row],[bal_nr]],Table2[#All],4,FALSE)=0,"",VLOOKUP(Table30[[#This Row],[bal_nr]],Table2[#All],4,FALSE))</f>
        <v>3.8.6 Opslag- en transportbedrijf, groothandel en containerterminal</v>
      </c>
      <c r="E331" t="str">
        <f>IF(VLOOKUP(Table30[[#This Row],[bal_nr]],Table2[#All],5,FALSE)=0,"",VLOOKUP(Table30[[#This Row],[bal_nr]],Table2[#All],5,FALSE))</f>
        <v/>
      </c>
      <c r="F331">
        <v>82</v>
      </c>
    </row>
    <row r="332" spans="1:6" x14ac:dyDescent="0.25">
      <c r="A332" s="1" t="s">
        <v>196</v>
      </c>
      <c r="B332" t="s">
        <v>610</v>
      </c>
      <c r="C332" t="str">
        <f>IF(VLOOKUP(Table30[[#This Row],[bal_nr]],Table2[#All],3,FALSE)=0,"",VLOOKUP(Table30[[#This Row],[bal_nr]],Table2[#All],3,FALSE))</f>
        <v>3.8 Transport, logistiek en ondersteuning daarvan</v>
      </c>
      <c r="D332" t="str">
        <f>IF(VLOOKUP(Table30[[#This Row],[bal_nr]],Table2[#All],4,FALSE)=0,"",VLOOKUP(Table30[[#This Row],[bal_nr]],Table2[#All],4,FALSE))</f>
        <v>3.8.6 Opslag- en transportbedrijf, groothandel en containerterminal</v>
      </c>
      <c r="E332" t="str">
        <f>IF(VLOOKUP(Table30[[#This Row],[bal_nr]],Table2[#All],5,FALSE)=0,"",VLOOKUP(Table30[[#This Row],[bal_nr]],Table2[#All],5,FALSE))</f>
        <v/>
      </c>
      <c r="F332">
        <v>82</v>
      </c>
    </row>
    <row r="333" spans="1:6" x14ac:dyDescent="0.25">
      <c r="A333" s="1" t="s">
        <v>197</v>
      </c>
      <c r="B333" t="s">
        <v>611</v>
      </c>
      <c r="C333" t="str">
        <f>IF(VLOOKUP(Table30[[#This Row],[bal_nr]],Table2[#All],3,FALSE)=0,"",VLOOKUP(Table30[[#This Row],[bal_nr]],Table2[#All],3,FALSE))</f>
        <v>3.8 Transport, logistiek en ondersteuning daarvan</v>
      </c>
      <c r="D333" t="str">
        <f>IF(VLOOKUP(Table30[[#This Row],[bal_nr]],Table2[#All],4,FALSE)=0,"",VLOOKUP(Table30[[#This Row],[bal_nr]],Table2[#All],4,FALSE))</f>
        <v>3.8.6 Opslag- en transportbedrijf, groothandel en containerterminal</v>
      </c>
      <c r="E333" t="str">
        <f>IF(VLOOKUP(Table30[[#This Row],[bal_nr]],Table2[#All],5,FALSE)=0,"",VLOOKUP(Table30[[#This Row],[bal_nr]],Table2[#All],5,FALSE))</f>
        <v/>
      </c>
      <c r="F333">
        <v>82</v>
      </c>
    </row>
    <row r="334" spans="1:6" x14ac:dyDescent="0.25">
      <c r="A334" s="1" t="s">
        <v>199</v>
      </c>
      <c r="B334" t="s">
        <v>613</v>
      </c>
      <c r="C334" t="str">
        <f>IF(VLOOKUP(Table30[[#This Row],[bal_nr]],Table2[#All],3,FALSE)=0,"",VLOOKUP(Table30[[#This Row],[bal_nr]],Table2[#All],3,FALSE))</f>
        <v>3.8 Transport, logistiek en ondersteuning daarvan</v>
      </c>
      <c r="D334" t="str">
        <f>IF(VLOOKUP(Table30[[#This Row],[bal_nr]],Table2[#All],4,FALSE)=0,"",VLOOKUP(Table30[[#This Row],[bal_nr]],Table2[#All],4,FALSE))</f>
        <v>3.8.6 Opslag- en transportbedrijf, groothandel en containerterminal</v>
      </c>
      <c r="E334" t="str">
        <f>IF(VLOOKUP(Table30[[#This Row],[bal_nr]],Table2[#All],5,FALSE)=0,"",VLOOKUP(Table30[[#This Row],[bal_nr]],Table2[#All],5,FALSE))</f>
        <v/>
      </c>
      <c r="F334">
        <v>82</v>
      </c>
    </row>
    <row r="335" spans="1:6" x14ac:dyDescent="0.25">
      <c r="A335" s="1" t="s">
        <v>201</v>
      </c>
      <c r="B335" t="s">
        <v>615</v>
      </c>
      <c r="C335" t="str">
        <f>IF(VLOOKUP(Table30[[#This Row],[bal_nr]],Table2[#All],3,FALSE)=0,"",VLOOKUP(Table30[[#This Row],[bal_nr]],Table2[#All],3,FALSE))</f>
        <v>3.8 Transport, logistiek en ondersteuning daarvan</v>
      </c>
      <c r="D335" t="str">
        <f>IF(VLOOKUP(Table30[[#This Row],[bal_nr]],Table2[#All],4,FALSE)=0,"",VLOOKUP(Table30[[#This Row],[bal_nr]],Table2[#All],4,FALSE))</f>
        <v>3.8.6 Opslag- en transportbedrijf, groothandel en containerterminal</v>
      </c>
      <c r="E335" t="str">
        <f>IF(VLOOKUP(Table30[[#This Row],[bal_nr]],Table2[#All],5,FALSE)=0,"",VLOOKUP(Table30[[#This Row],[bal_nr]],Table2[#All],5,FALSE))</f>
        <v/>
      </c>
      <c r="F335">
        <v>82</v>
      </c>
    </row>
    <row r="336" spans="1:6" x14ac:dyDescent="0.25">
      <c r="A336" s="1" t="s">
        <v>202</v>
      </c>
      <c r="B336" t="s">
        <v>175</v>
      </c>
      <c r="C336" t="str">
        <f>IF(VLOOKUP(Table30[[#This Row],[bal_nr]],Table2[#All],3,FALSE)=0,"",VLOOKUP(Table30[[#This Row],[bal_nr]],Table2[#All],3,FALSE))</f>
        <v>3.8 Transport, logistiek en ondersteuning daarvan</v>
      </c>
      <c r="D336" t="str">
        <f>IF(VLOOKUP(Table30[[#This Row],[bal_nr]],Table2[#All],4,FALSE)=0,"",VLOOKUP(Table30[[#This Row],[bal_nr]],Table2[#All],4,FALSE))</f>
        <v>3.8.6 Opslag- en transportbedrijf, groothandel en containerterminal</v>
      </c>
      <c r="E336" t="str">
        <f>IF(VLOOKUP(Table30[[#This Row],[bal_nr]],Table2[#All],5,FALSE)=0,"",VLOOKUP(Table30[[#This Row],[bal_nr]],Table2[#All],5,FALSE))</f>
        <v/>
      </c>
      <c r="F336">
        <v>82</v>
      </c>
    </row>
    <row r="337" spans="1:6" x14ac:dyDescent="0.25">
      <c r="A337" s="1" t="s">
        <v>203</v>
      </c>
      <c r="B337" t="s">
        <v>616</v>
      </c>
      <c r="C337" t="str">
        <f>IF(VLOOKUP(Table30[[#This Row],[bal_nr]],Table2[#All],3,FALSE)=0,"",VLOOKUP(Table30[[#This Row],[bal_nr]],Table2[#All],3,FALSE))</f>
        <v>3.8 Transport, logistiek en ondersteuning daarvan</v>
      </c>
      <c r="D337" t="str">
        <f>IF(VLOOKUP(Table30[[#This Row],[bal_nr]],Table2[#All],4,FALSE)=0,"",VLOOKUP(Table30[[#This Row],[bal_nr]],Table2[#All],4,FALSE))</f>
        <v>3.8.6 Opslag- en transportbedrijf, groothandel en containerterminal</v>
      </c>
      <c r="E337" t="str">
        <f>IF(VLOOKUP(Table30[[#This Row],[bal_nr]],Table2[#All],5,FALSE)=0,"",VLOOKUP(Table30[[#This Row],[bal_nr]],Table2[#All],5,FALSE))</f>
        <v/>
      </c>
      <c r="F337">
        <v>82</v>
      </c>
    </row>
    <row r="338" spans="1:6" x14ac:dyDescent="0.25">
      <c r="A338" s="1" t="s">
        <v>204</v>
      </c>
      <c r="B338" t="s">
        <v>176</v>
      </c>
      <c r="C338" t="str">
        <f>IF(VLOOKUP(Table30[[#This Row],[bal_nr]],Table2[#All],3,FALSE)=0,"",VLOOKUP(Table30[[#This Row],[bal_nr]],Table2[#All],3,FALSE))</f>
        <v>3.8 Transport, logistiek en ondersteuning daarvan</v>
      </c>
      <c r="D338" t="str">
        <f>IF(VLOOKUP(Table30[[#This Row],[bal_nr]],Table2[#All],4,FALSE)=0,"",VLOOKUP(Table30[[#This Row],[bal_nr]],Table2[#All],4,FALSE))</f>
        <v>3.8.6 Opslag- en transportbedrijf, groothandel en containerterminal</v>
      </c>
      <c r="E338" t="str">
        <f>IF(VLOOKUP(Table30[[#This Row],[bal_nr]],Table2[#All],5,FALSE)=0,"",VLOOKUP(Table30[[#This Row],[bal_nr]],Table2[#All],5,FALSE))</f>
        <v/>
      </c>
      <c r="F338">
        <v>82</v>
      </c>
    </row>
    <row r="339" spans="1:6" x14ac:dyDescent="0.25">
      <c r="A339" s="1" t="s">
        <v>205</v>
      </c>
      <c r="B339" t="s">
        <v>617</v>
      </c>
      <c r="C339" t="str">
        <f>IF(VLOOKUP(Table30[[#This Row],[bal_nr]],Table2[#All],3,FALSE)=0,"",VLOOKUP(Table30[[#This Row],[bal_nr]],Table2[#All],3,FALSE))</f>
        <v>3.8 Transport, logistiek en ondersteuning daarvan</v>
      </c>
      <c r="D339" t="str">
        <f>IF(VLOOKUP(Table30[[#This Row],[bal_nr]],Table2[#All],4,FALSE)=0,"",VLOOKUP(Table30[[#This Row],[bal_nr]],Table2[#All],4,FALSE))</f>
        <v>3.8.6 Opslag- en transportbedrijf, groothandel en containerterminal</v>
      </c>
      <c r="E339" t="str">
        <f>IF(VLOOKUP(Table30[[#This Row],[bal_nr]],Table2[#All],5,FALSE)=0,"",VLOOKUP(Table30[[#This Row],[bal_nr]],Table2[#All],5,FALSE))</f>
        <v/>
      </c>
      <c r="F339">
        <v>82</v>
      </c>
    </row>
    <row r="340" spans="1:6" x14ac:dyDescent="0.25">
      <c r="A340" s="1" t="s">
        <v>206</v>
      </c>
      <c r="B340" t="s">
        <v>618</v>
      </c>
      <c r="C340" t="str">
        <f>IF(VLOOKUP(Table30[[#This Row],[bal_nr]],Table2[#All],3,FALSE)=0,"",VLOOKUP(Table30[[#This Row],[bal_nr]],Table2[#All],3,FALSE))</f>
        <v>3.8 Transport, logistiek en ondersteuning daarvan</v>
      </c>
      <c r="D340" t="str">
        <f>IF(VLOOKUP(Table30[[#This Row],[bal_nr]],Table2[#All],4,FALSE)=0,"",VLOOKUP(Table30[[#This Row],[bal_nr]],Table2[#All],4,FALSE))</f>
        <v>3.8.6 Opslag- en transportbedrijf, groothandel en containerterminal</v>
      </c>
      <c r="E340" t="str">
        <f>IF(VLOOKUP(Table30[[#This Row],[bal_nr]],Table2[#All],5,FALSE)=0,"",VLOOKUP(Table30[[#This Row],[bal_nr]],Table2[#All],5,FALSE))</f>
        <v/>
      </c>
      <c r="F340">
        <v>82</v>
      </c>
    </row>
    <row r="341" spans="1:6" x14ac:dyDescent="0.25">
      <c r="A341" s="1" t="s">
        <v>207</v>
      </c>
      <c r="B341" t="s">
        <v>177</v>
      </c>
      <c r="C341" t="str">
        <f>IF(VLOOKUP(Table30[[#This Row],[bal_nr]],Table2[#All],3,FALSE)=0,"",VLOOKUP(Table30[[#This Row],[bal_nr]],Table2[#All],3,FALSE))</f>
        <v>3.8 Transport, logistiek en ondersteuning daarvan</v>
      </c>
      <c r="D341" t="str">
        <f>IF(VLOOKUP(Table30[[#This Row],[bal_nr]],Table2[#All],4,FALSE)=0,"",VLOOKUP(Table30[[#This Row],[bal_nr]],Table2[#All],4,FALSE))</f>
        <v>3.8.6 Opslag- en transportbedrijf, groothandel en containerterminal</v>
      </c>
      <c r="E341" t="str">
        <f>IF(VLOOKUP(Table30[[#This Row],[bal_nr]],Table2[#All],5,FALSE)=0,"",VLOOKUP(Table30[[#This Row],[bal_nr]],Table2[#All],5,FALSE))</f>
        <v/>
      </c>
      <c r="F341">
        <v>82</v>
      </c>
    </row>
    <row r="342" spans="1:6" x14ac:dyDescent="0.25">
      <c r="A342" s="1" t="s">
        <v>208</v>
      </c>
      <c r="B342" t="s">
        <v>619</v>
      </c>
      <c r="C342" t="str">
        <f>IF(VLOOKUP(Table30[[#This Row],[bal_nr]],Table2[#All],3,FALSE)=0,"",VLOOKUP(Table30[[#This Row],[bal_nr]],Table2[#All],3,FALSE))</f>
        <v>3.8 Transport, logistiek en ondersteuning daarvan</v>
      </c>
      <c r="D342" t="str">
        <f>IF(VLOOKUP(Table30[[#This Row],[bal_nr]],Table2[#All],4,FALSE)=0,"",VLOOKUP(Table30[[#This Row],[bal_nr]],Table2[#All],4,FALSE))</f>
        <v>3.8.6 Opslag- en transportbedrijf, groothandel en containerterminal</v>
      </c>
      <c r="E342" t="str">
        <f>IF(VLOOKUP(Table30[[#This Row],[bal_nr]],Table2[#All],5,FALSE)=0,"",VLOOKUP(Table30[[#This Row],[bal_nr]],Table2[#All],5,FALSE))</f>
        <v/>
      </c>
      <c r="F342">
        <v>82</v>
      </c>
    </row>
    <row r="343" spans="1:6" x14ac:dyDescent="0.25">
      <c r="A343" s="1" t="s">
        <v>217</v>
      </c>
      <c r="B343" t="s">
        <v>210</v>
      </c>
      <c r="C343" t="str">
        <f>IF(VLOOKUP(Table30[[#This Row],[bal_nr]],Table2[#All],3,FALSE)=0,"",VLOOKUP(Table30[[#This Row],[bal_nr]],Table2[#All],3,FALSE))</f>
        <v>3.11 Defensie</v>
      </c>
      <c r="D343" t="str">
        <f>IF(VLOOKUP(Table30[[#This Row],[bal_nr]],Table2[#All],4,FALSE)=0,"",VLOOKUP(Table30[[#This Row],[bal_nr]],Table2[#All],4,FALSE))</f>
        <v/>
      </c>
      <c r="E343" t="str">
        <f>IF(VLOOKUP(Table30[[#This Row],[bal_nr]],Table2[#All],5,FALSE)=0,"",VLOOKUP(Table30[[#This Row],[bal_nr]],Table2[#All],5,FALSE))</f>
        <v/>
      </c>
      <c r="F343">
        <v>84</v>
      </c>
    </row>
    <row r="344" spans="1:6" x14ac:dyDescent="0.25">
      <c r="A344" s="1" t="s">
        <v>159</v>
      </c>
      <c r="B344" t="s">
        <v>578</v>
      </c>
      <c r="C344" t="str">
        <f>IF(VLOOKUP(Table30[[#This Row],[bal_nr]],Table2[#All],3,FALSE)=0,"",VLOOKUP(Table30[[#This Row],[bal_nr]],Table2[#All],3,FALSE))</f>
        <v>3.5 Afvalbeheer</v>
      </c>
      <c r="D344" t="str">
        <f>IF(VLOOKUP(Table30[[#This Row],[bal_nr]],Table2[#All],4,FALSE)=0,"",VLOOKUP(Table30[[#This Row],[bal_nr]],Table2[#All],4,FALSE))</f>
        <v/>
      </c>
      <c r="E344" t="str">
        <f>IF(VLOOKUP(Table30[[#This Row],[bal_nr]],Table2[#All],5,FALSE)=0,"",VLOOKUP(Table30[[#This Row],[bal_nr]],Table2[#All],5,FALSE))</f>
        <v/>
      </c>
      <c r="F344">
        <v>62</v>
      </c>
    </row>
    <row r="345" spans="1:6" x14ac:dyDescent="0.25">
      <c r="A345" s="1" t="s">
        <v>161</v>
      </c>
      <c r="B345" t="s">
        <v>580</v>
      </c>
      <c r="C345" t="str">
        <f>IF(VLOOKUP(Table30[[#This Row],[bal_nr]],Table2[#All],3,FALSE)=0,"",VLOOKUP(Table30[[#This Row],[bal_nr]],Table2[#All],3,FALSE))</f>
        <v>3.5 Afvalbeheer</v>
      </c>
      <c r="D345" t="str">
        <f>IF(VLOOKUP(Table30[[#This Row],[bal_nr]],Table2[#All],4,FALSE)=0,"",VLOOKUP(Table30[[#This Row],[bal_nr]],Table2[#All],4,FALSE))</f>
        <v/>
      </c>
      <c r="E345" t="str">
        <f>IF(VLOOKUP(Table30[[#This Row],[bal_nr]],Table2[#All],5,FALSE)=0,"",VLOOKUP(Table30[[#This Row],[bal_nr]],Table2[#All],5,FALSE))</f>
        <v/>
      </c>
      <c r="F345">
        <v>62</v>
      </c>
    </row>
    <row r="346" spans="1:6" x14ac:dyDescent="0.25">
      <c r="A346" s="1" t="s">
        <v>162</v>
      </c>
      <c r="B346" t="s">
        <v>581</v>
      </c>
      <c r="C346" t="str">
        <f>IF(VLOOKUP(Table30[[#This Row],[bal_nr]],Table2[#All],3,FALSE)=0,"",VLOOKUP(Table30[[#This Row],[bal_nr]],Table2[#All],3,FALSE))</f>
        <v>3.5 Afvalbeheer</v>
      </c>
      <c r="D346" t="str">
        <f>IF(VLOOKUP(Table30[[#This Row],[bal_nr]],Table2[#All],4,FALSE)=0,"",VLOOKUP(Table30[[#This Row],[bal_nr]],Table2[#All],4,FALSE))</f>
        <v/>
      </c>
      <c r="E346" t="str">
        <f>IF(VLOOKUP(Table30[[#This Row],[bal_nr]],Table2[#All],5,FALSE)=0,"",VLOOKUP(Table30[[#This Row],[bal_nr]],Table2[#All],5,FALSE))</f>
        <v/>
      </c>
      <c r="F346">
        <v>62</v>
      </c>
    </row>
    <row r="347" spans="1:6" x14ac:dyDescent="0.25">
      <c r="A347" s="1" t="s">
        <v>163</v>
      </c>
      <c r="B347" t="s">
        <v>582</v>
      </c>
      <c r="C347" t="str">
        <f>IF(VLOOKUP(Table30[[#This Row],[bal_nr]],Table2[#All],3,FALSE)=0,"",VLOOKUP(Table30[[#This Row],[bal_nr]],Table2[#All],3,FALSE))</f>
        <v>3.5 Afvalbeheer</v>
      </c>
      <c r="D347" t="str">
        <f>IF(VLOOKUP(Table30[[#This Row],[bal_nr]],Table2[#All],4,FALSE)=0,"",VLOOKUP(Table30[[#This Row],[bal_nr]],Table2[#All],4,FALSE))</f>
        <v/>
      </c>
      <c r="E347" t="str">
        <f>IF(VLOOKUP(Table30[[#This Row],[bal_nr]],Table2[#All],5,FALSE)=0,"",VLOOKUP(Table30[[#This Row],[bal_nr]],Table2[#All],5,FALSE))</f>
        <v/>
      </c>
      <c r="F347">
        <v>62</v>
      </c>
    </row>
    <row r="348" spans="1:6" x14ac:dyDescent="0.25">
      <c r="A348" s="1" t="s">
        <v>164</v>
      </c>
      <c r="B348" t="s">
        <v>583</v>
      </c>
      <c r="C348" t="str">
        <f>IF(VLOOKUP(Table30[[#This Row],[bal_nr]],Table2[#All],3,FALSE)=0,"",VLOOKUP(Table30[[#This Row],[bal_nr]],Table2[#All],3,FALSE))</f>
        <v>3.5 Afvalbeheer</v>
      </c>
      <c r="D348" t="str">
        <f>IF(VLOOKUP(Table30[[#This Row],[bal_nr]],Table2[#All],4,FALSE)=0,"",VLOOKUP(Table30[[#This Row],[bal_nr]],Table2[#All],4,FALSE))</f>
        <v/>
      </c>
      <c r="E348" t="str">
        <f>IF(VLOOKUP(Table30[[#This Row],[bal_nr]],Table2[#All],5,FALSE)=0,"",VLOOKUP(Table30[[#This Row],[bal_nr]],Table2[#All],5,FALSE))</f>
        <v/>
      </c>
      <c r="F348">
        <v>62</v>
      </c>
    </row>
    <row r="349" spans="1:6" x14ac:dyDescent="0.25">
      <c r="A349" s="1" t="s">
        <v>166</v>
      </c>
      <c r="B349" t="s">
        <v>154</v>
      </c>
      <c r="C349" t="str">
        <f>IF(VLOOKUP(Table30[[#This Row],[bal_nr]],Table2[#All],3,FALSE)=0,"",VLOOKUP(Table30[[#This Row],[bal_nr]],Table2[#All],3,FALSE))</f>
        <v>3.5 Afvalbeheer</v>
      </c>
      <c r="D349" t="str">
        <f>IF(VLOOKUP(Table30[[#This Row],[bal_nr]],Table2[#All],4,FALSE)=0,"",VLOOKUP(Table30[[#This Row],[bal_nr]],Table2[#All],4,FALSE))</f>
        <v/>
      </c>
      <c r="E349" t="str">
        <f>IF(VLOOKUP(Table30[[#This Row],[bal_nr]],Table2[#All],5,FALSE)=0,"",VLOOKUP(Table30[[#This Row],[bal_nr]],Table2[#All],5,FALSE))</f>
        <v/>
      </c>
      <c r="F349">
        <v>62</v>
      </c>
    </row>
    <row r="350" spans="1:6" x14ac:dyDescent="0.25">
      <c r="A350" s="1" t="s">
        <v>167</v>
      </c>
      <c r="B350" t="s">
        <v>585</v>
      </c>
      <c r="C350" t="str">
        <f>IF(VLOOKUP(Table30[[#This Row],[bal_nr]],Table2[#All],3,FALSE)=0,"",VLOOKUP(Table30[[#This Row],[bal_nr]],Table2[#All],3,FALSE))</f>
        <v>3.5 Afvalbeheer</v>
      </c>
      <c r="D350" t="str">
        <f>IF(VLOOKUP(Table30[[#This Row],[bal_nr]],Table2[#All],4,FALSE)=0,"",VLOOKUP(Table30[[#This Row],[bal_nr]],Table2[#All],4,FALSE))</f>
        <v/>
      </c>
      <c r="E350" t="str">
        <f>IF(VLOOKUP(Table30[[#This Row],[bal_nr]],Table2[#All],5,FALSE)=0,"",VLOOKUP(Table30[[#This Row],[bal_nr]],Table2[#All],5,FALSE))</f>
        <v/>
      </c>
      <c r="F350">
        <v>62</v>
      </c>
    </row>
    <row r="351" spans="1:6" x14ac:dyDescent="0.25">
      <c r="A351" s="1" t="s">
        <v>1</v>
      </c>
      <c r="B351" t="s">
        <v>366</v>
      </c>
      <c r="C351" t="str">
        <f>IF(VLOOKUP(Table30[[#This Row],[bal_nr]],Table2[#All],3,FALSE)=0,"",VLOOKUP(Table30[[#This Row],[bal_nr]],Table2[#All],3,FALSE))</f>
        <v>3.6 Agrarische sector</v>
      </c>
      <c r="D351" t="str">
        <f>IF(VLOOKUP(Table30[[#This Row],[bal_nr]],Table2[#All],4,FALSE)=0,"",VLOOKUP(Table30[[#This Row],[bal_nr]],Table2[#All],4,FALSE))</f>
        <v/>
      </c>
      <c r="E351" t="str">
        <f>IF(VLOOKUP(Table30[[#This Row],[bal_nr]],Table2[#All],5,FALSE)=0,"",VLOOKUP(Table30[[#This Row],[bal_nr]],Table2[#All],5,FALSE))</f>
        <v/>
      </c>
      <c r="F351">
        <v>67</v>
      </c>
    </row>
    <row r="352" spans="1:6" x14ac:dyDescent="0.25">
      <c r="A352" s="1" t="s">
        <v>2</v>
      </c>
      <c r="B352" t="s">
        <v>25</v>
      </c>
      <c r="C352" t="str">
        <f>IF(VLOOKUP(Table30[[#This Row],[bal_nr]],Table2[#All],3,FALSE)=0,"",VLOOKUP(Table30[[#This Row],[bal_nr]],Table2[#All],3,FALSE))</f>
        <v>3.6 Agrarische sector</v>
      </c>
      <c r="D352" t="str">
        <f>IF(VLOOKUP(Table30[[#This Row],[bal_nr]],Table2[#All],4,FALSE)=0,"",VLOOKUP(Table30[[#This Row],[bal_nr]],Table2[#All],4,FALSE))</f>
        <v/>
      </c>
      <c r="E352" t="str">
        <f>IF(VLOOKUP(Table30[[#This Row],[bal_nr]],Table2[#All],5,FALSE)=0,"",VLOOKUP(Table30[[#This Row],[bal_nr]],Table2[#All],5,FALSE))</f>
        <v/>
      </c>
      <c r="F352">
        <v>67</v>
      </c>
    </row>
    <row r="353" spans="1:6" x14ac:dyDescent="0.25">
      <c r="A353" s="1" t="s">
        <v>3</v>
      </c>
      <c r="B353" t="s">
        <v>26</v>
      </c>
      <c r="C353" t="str">
        <f>IF(VLOOKUP(Table30[[#This Row],[bal_nr]],Table2[#All],3,FALSE)=0,"",VLOOKUP(Table30[[#This Row],[bal_nr]],Table2[#All],3,FALSE))</f>
        <v>3.6 Agrarische sector</v>
      </c>
      <c r="D353" t="str">
        <f>IF(VLOOKUP(Table30[[#This Row],[bal_nr]],Table2[#All],4,FALSE)=0,"",VLOOKUP(Table30[[#This Row],[bal_nr]],Table2[#All],4,FALSE))</f>
        <v/>
      </c>
      <c r="E353" t="str">
        <f>IF(VLOOKUP(Table30[[#This Row],[bal_nr]],Table2[#All],5,FALSE)=0,"",VLOOKUP(Table30[[#This Row],[bal_nr]],Table2[#All],5,FALSE))</f>
        <v/>
      </c>
      <c r="F353">
        <v>67</v>
      </c>
    </row>
    <row r="354" spans="1:6" x14ac:dyDescent="0.25">
      <c r="A354" s="1" t="s">
        <v>6</v>
      </c>
      <c r="B354" t="s">
        <v>29</v>
      </c>
      <c r="C354" t="str">
        <f>IF(VLOOKUP(Table30[[#This Row],[bal_nr]],Table2[#All],3,FALSE)=0,"",VLOOKUP(Table30[[#This Row],[bal_nr]],Table2[#All],3,FALSE))</f>
        <v>3.6 Agrarische sector</v>
      </c>
      <c r="D354" t="str">
        <f>IF(VLOOKUP(Table30[[#This Row],[bal_nr]],Table2[#All],4,FALSE)=0,"",VLOOKUP(Table30[[#This Row],[bal_nr]],Table2[#All],4,FALSE))</f>
        <v/>
      </c>
      <c r="E354" t="str">
        <f>IF(VLOOKUP(Table30[[#This Row],[bal_nr]],Table2[#All],5,FALSE)=0,"",VLOOKUP(Table30[[#This Row],[bal_nr]],Table2[#All],5,FALSE))</f>
        <v/>
      </c>
      <c r="F354">
        <v>67</v>
      </c>
    </row>
    <row r="355" spans="1:6" x14ac:dyDescent="0.25">
      <c r="A355" s="1" t="s">
        <v>219</v>
      </c>
      <c r="B355" t="s">
        <v>624</v>
      </c>
      <c r="C355" t="str">
        <f>IF(VLOOKUP(Table30[[#This Row],[bal_nr]],Table2[#All],3,FALSE)=0,"",VLOOKUP(Table30[[#This Row],[bal_nr]],Table2[#All],3,FALSE))</f>
        <v>3.7 Dienstverlening, onderwijs en zorg</v>
      </c>
      <c r="D355" t="str">
        <f>IF(VLOOKUP(Table30[[#This Row],[bal_nr]],Table2[#All],4,FALSE)=0,"",VLOOKUP(Table30[[#This Row],[bal_nr]],Table2[#All],4,FALSE))</f>
        <v/>
      </c>
      <c r="E355" t="str">
        <f>IF(VLOOKUP(Table30[[#This Row],[bal_nr]],Table2[#All],5,FALSE)=0,"",VLOOKUP(Table30[[#This Row],[bal_nr]],Table2[#All],5,FALSE))</f>
        <v/>
      </c>
      <c r="F355">
        <v>69</v>
      </c>
    </row>
    <row r="356" spans="1:6" x14ac:dyDescent="0.25">
      <c r="A356" s="1" t="s">
        <v>220</v>
      </c>
      <c r="B356" t="s">
        <v>625</v>
      </c>
      <c r="C356" t="str">
        <f>IF(VLOOKUP(Table30[[#This Row],[bal_nr]],Table2[#All],3,FALSE)=0,"",VLOOKUP(Table30[[#This Row],[bal_nr]],Table2[#All],3,FALSE))</f>
        <v>3.7 Dienstverlening, onderwijs en zorg</v>
      </c>
      <c r="D356" t="str">
        <f>IF(VLOOKUP(Table30[[#This Row],[bal_nr]],Table2[#All],4,FALSE)=0,"",VLOOKUP(Table30[[#This Row],[bal_nr]],Table2[#All],4,FALSE))</f>
        <v/>
      </c>
      <c r="E356" t="str">
        <f>IF(VLOOKUP(Table30[[#This Row],[bal_nr]],Table2[#All],5,FALSE)=0,"",VLOOKUP(Table30[[#This Row],[bal_nr]],Table2[#All],5,FALSE))</f>
        <v/>
      </c>
      <c r="F356">
        <v>69</v>
      </c>
    </row>
    <row r="357" spans="1:6" x14ac:dyDescent="0.25">
      <c r="A357" s="1" t="s">
        <v>221</v>
      </c>
      <c r="B357" t="s">
        <v>626</v>
      </c>
      <c r="C357" t="str">
        <f>IF(VLOOKUP(Table30[[#This Row],[bal_nr]],Table2[#All],3,FALSE)=0,"",VLOOKUP(Table30[[#This Row],[bal_nr]],Table2[#All],3,FALSE))</f>
        <v>3.7 Dienstverlening, onderwijs en zorg</v>
      </c>
      <c r="D357" t="str">
        <f>IF(VLOOKUP(Table30[[#This Row],[bal_nr]],Table2[#All],4,FALSE)=0,"",VLOOKUP(Table30[[#This Row],[bal_nr]],Table2[#All],4,FALSE))</f>
        <v/>
      </c>
      <c r="E357" t="str">
        <f>IF(VLOOKUP(Table30[[#This Row],[bal_nr]],Table2[#All],5,FALSE)=0,"",VLOOKUP(Table30[[#This Row],[bal_nr]],Table2[#All],5,FALSE))</f>
        <v/>
      </c>
      <c r="F357">
        <v>69</v>
      </c>
    </row>
    <row r="358" spans="1:6" x14ac:dyDescent="0.25">
      <c r="A358" s="1" t="s">
        <v>225</v>
      </c>
      <c r="B358" t="s">
        <v>629</v>
      </c>
      <c r="C358" t="str">
        <f>IF(VLOOKUP(Table30[[#This Row],[bal_nr]],Table2[#All],3,FALSE)=0,"",VLOOKUP(Table30[[#This Row],[bal_nr]],Table2[#All],3,FALSE))</f>
        <v>3.7 Dienstverlening, onderwijs en zorg</v>
      </c>
      <c r="D358" t="str">
        <f>IF(VLOOKUP(Table30[[#This Row],[bal_nr]],Table2[#All],4,FALSE)=0,"",VLOOKUP(Table30[[#This Row],[bal_nr]],Table2[#All],4,FALSE))</f>
        <v/>
      </c>
      <c r="E358" t="str">
        <f>IF(VLOOKUP(Table30[[#This Row],[bal_nr]],Table2[#All],5,FALSE)=0,"",VLOOKUP(Table30[[#This Row],[bal_nr]],Table2[#All],5,FALSE))</f>
        <v/>
      </c>
      <c r="F358">
        <v>69</v>
      </c>
    </row>
    <row r="359" spans="1:6" x14ac:dyDescent="0.25">
      <c r="A359" s="1" t="s">
        <v>143</v>
      </c>
      <c r="B359" t="s">
        <v>564</v>
      </c>
      <c r="C359" t="str">
        <f>IF(VLOOKUP(Table30[[#This Row],[bal_nr]],Table2[#All],3,FALSE)=0,"",VLOOKUP(Table30[[#This Row],[bal_nr]],Table2[#All],3,FALSE))</f>
        <v>3.8 Transport, logistiek en ondersteuning daarvan</v>
      </c>
      <c r="D359" t="str">
        <f>IF(VLOOKUP(Table30[[#This Row],[bal_nr]],Table2[#All],4,FALSE)=0,"",VLOOKUP(Table30[[#This Row],[bal_nr]],Table2[#All],4,FALSE))</f>
        <v/>
      </c>
      <c r="E359" t="str">
        <f>IF(VLOOKUP(Table30[[#This Row],[bal_nr]],Table2[#All],5,FALSE)=0,"",VLOOKUP(Table30[[#This Row],[bal_nr]],Table2[#All],5,FALSE))</f>
        <v/>
      </c>
      <c r="F359">
        <v>78</v>
      </c>
    </row>
    <row r="360" spans="1:6" x14ac:dyDescent="0.25">
      <c r="A360" s="1" t="s">
        <v>223</v>
      </c>
      <c r="B360" t="s">
        <v>627</v>
      </c>
      <c r="C360" t="str">
        <f>IF(VLOOKUP(Table30[[#This Row],[bal_nr]],Table2[#All],3,FALSE)=0,"",VLOOKUP(Table30[[#This Row],[bal_nr]],Table2[#All],3,FALSE))</f>
        <v>3.9 Sport en recreatie</v>
      </c>
      <c r="D360" t="str">
        <f>IF(VLOOKUP(Table30[[#This Row],[bal_nr]],Table2[#All],4,FALSE)=0,"",VLOOKUP(Table30[[#This Row],[bal_nr]],Table2[#All],4,FALSE))</f>
        <v/>
      </c>
      <c r="E360" t="str">
        <f>IF(VLOOKUP(Table30[[#This Row],[bal_nr]],Table2[#All],5,FALSE)=0,"",VLOOKUP(Table30[[#This Row],[bal_nr]],Table2[#All],5,FALSE))</f>
        <v/>
      </c>
      <c r="F360">
        <v>83</v>
      </c>
    </row>
    <row r="361" spans="1:6" x14ac:dyDescent="0.25">
      <c r="A361" s="1" t="s">
        <v>224</v>
      </c>
      <c r="B361" t="s">
        <v>628</v>
      </c>
      <c r="C361" t="str">
        <f>IF(VLOOKUP(Table30[[#This Row],[bal_nr]],Table2[#All],3,FALSE)=0,"",VLOOKUP(Table30[[#This Row],[bal_nr]],Table2[#All],3,FALSE))</f>
        <v>3.9 Sport en recreatie</v>
      </c>
      <c r="D361" t="str">
        <f>IF(VLOOKUP(Table30[[#This Row],[bal_nr]],Table2[#All],4,FALSE)=0,"",VLOOKUP(Table30[[#This Row],[bal_nr]],Table2[#All],4,FALSE))</f>
        <v/>
      </c>
      <c r="E361" t="str">
        <f>IF(VLOOKUP(Table30[[#This Row],[bal_nr]],Table2[#All],5,FALSE)=0,"",VLOOKUP(Table30[[#This Row],[bal_nr]],Table2[#All],5,FALSE))</f>
        <v/>
      </c>
      <c r="F361">
        <v>83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9DF7-2926-4A5E-84E8-E352B6553DB7}">
  <dimension ref="A1:E82"/>
  <sheetViews>
    <sheetView workbookViewId="0">
      <selection sqref="A1:A1048576"/>
    </sheetView>
  </sheetViews>
  <sheetFormatPr defaultRowHeight="15" x14ac:dyDescent="0.25"/>
  <cols>
    <col min="1" max="1" width="14.85546875" bestFit="1" customWidth="1"/>
    <col min="2" max="2" width="170.85546875" bestFit="1" customWidth="1"/>
    <col min="3" max="3" width="45.7109375" bestFit="1" customWidth="1"/>
    <col min="4" max="4" width="102.5703125" bestFit="1" customWidth="1"/>
    <col min="5" max="5" width="170.85546875" bestFit="1" customWidth="1"/>
  </cols>
  <sheetData>
    <row r="1" spans="1:5" x14ac:dyDescent="0.25">
      <c r="A1" t="s">
        <v>695</v>
      </c>
      <c r="B1" t="s">
        <v>703</v>
      </c>
      <c r="C1" t="s">
        <v>676</v>
      </c>
      <c r="D1" t="s">
        <v>675</v>
      </c>
      <c r="E1" t="s">
        <v>696</v>
      </c>
    </row>
    <row r="2" spans="1:5" x14ac:dyDescent="0.25">
      <c r="A2" s="6">
        <v>1</v>
      </c>
      <c r="B2" s="8" t="s">
        <v>0</v>
      </c>
      <c r="C2" t="s">
        <v>697</v>
      </c>
      <c r="D2" t="s">
        <v>0</v>
      </c>
      <c r="E2" t="s">
        <v>15</v>
      </c>
    </row>
    <row r="3" spans="1:5" x14ac:dyDescent="0.25">
      <c r="A3" s="6">
        <v>84</v>
      </c>
      <c r="B3" s="8" t="s">
        <v>694</v>
      </c>
      <c r="C3" t="s">
        <v>694</v>
      </c>
      <c r="D3" t="s">
        <v>15</v>
      </c>
      <c r="E3" t="s">
        <v>15</v>
      </c>
    </row>
    <row r="4" spans="1:5" x14ac:dyDescent="0.25">
      <c r="A4" s="7">
        <v>2</v>
      </c>
      <c r="B4" t="s">
        <v>350</v>
      </c>
      <c r="C4" t="s">
        <v>698</v>
      </c>
      <c r="D4" t="s">
        <v>350</v>
      </c>
      <c r="E4" t="s">
        <v>15</v>
      </c>
    </row>
    <row r="5" spans="1:5" x14ac:dyDescent="0.25">
      <c r="A5" s="6">
        <v>3</v>
      </c>
      <c r="B5" s="8" t="s">
        <v>352</v>
      </c>
      <c r="C5" t="s">
        <v>698</v>
      </c>
      <c r="D5" t="s">
        <v>352</v>
      </c>
      <c r="E5" t="s">
        <v>15</v>
      </c>
    </row>
    <row r="6" spans="1:5" x14ac:dyDescent="0.25">
      <c r="A6" s="7">
        <v>4</v>
      </c>
      <c r="B6" t="s">
        <v>355</v>
      </c>
      <c r="C6" t="s">
        <v>698</v>
      </c>
      <c r="D6" t="s">
        <v>355</v>
      </c>
      <c r="E6" t="s">
        <v>15</v>
      </c>
    </row>
    <row r="7" spans="1:5" x14ac:dyDescent="0.25">
      <c r="A7" s="6">
        <v>5</v>
      </c>
      <c r="B7" s="8" t="s">
        <v>639</v>
      </c>
      <c r="C7" t="s">
        <v>693</v>
      </c>
      <c r="D7" t="s">
        <v>700</v>
      </c>
      <c r="E7" t="s">
        <v>639</v>
      </c>
    </row>
    <row r="8" spans="1:5" x14ac:dyDescent="0.25">
      <c r="A8" s="7">
        <v>6</v>
      </c>
      <c r="B8" t="s">
        <v>640</v>
      </c>
      <c r="C8" t="s">
        <v>693</v>
      </c>
      <c r="D8" t="s">
        <v>700</v>
      </c>
      <c r="E8" t="s">
        <v>640</v>
      </c>
    </row>
    <row r="9" spans="1:5" x14ac:dyDescent="0.25">
      <c r="A9" s="6">
        <v>7</v>
      </c>
      <c r="B9" s="8" t="s">
        <v>678</v>
      </c>
      <c r="C9" t="s">
        <v>693</v>
      </c>
      <c r="D9" t="s">
        <v>678</v>
      </c>
      <c r="E9" t="s">
        <v>15</v>
      </c>
    </row>
    <row r="10" spans="1:5" x14ac:dyDescent="0.25">
      <c r="A10" s="7">
        <v>8</v>
      </c>
      <c r="B10" t="s">
        <v>348</v>
      </c>
      <c r="C10" t="s">
        <v>693</v>
      </c>
      <c r="D10" t="s">
        <v>348</v>
      </c>
      <c r="E10" t="s">
        <v>15</v>
      </c>
    </row>
    <row r="11" spans="1:5" x14ac:dyDescent="0.25">
      <c r="A11" s="6">
        <v>9</v>
      </c>
      <c r="B11" s="8" t="s">
        <v>338</v>
      </c>
      <c r="C11" t="s">
        <v>693</v>
      </c>
      <c r="D11" t="s">
        <v>338</v>
      </c>
      <c r="E11" t="s">
        <v>15</v>
      </c>
    </row>
    <row r="12" spans="1:5" x14ac:dyDescent="0.25">
      <c r="A12" s="7">
        <v>10</v>
      </c>
      <c r="B12" t="s">
        <v>365</v>
      </c>
      <c r="C12" t="s">
        <v>693</v>
      </c>
      <c r="D12" t="s">
        <v>365</v>
      </c>
      <c r="E12" t="s">
        <v>15</v>
      </c>
    </row>
    <row r="13" spans="1:5" x14ac:dyDescent="0.25">
      <c r="A13" s="6">
        <v>11</v>
      </c>
      <c r="B13" s="8" t="s">
        <v>340</v>
      </c>
      <c r="C13" t="s">
        <v>693</v>
      </c>
      <c r="D13" t="s">
        <v>340</v>
      </c>
      <c r="E13" t="s">
        <v>15</v>
      </c>
    </row>
    <row r="14" spans="1:5" x14ac:dyDescent="0.25">
      <c r="A14" s="6">
        <v>13</v>
      </c>
      <c r="B14" s="8" t="s">
        <v>641</v>
      </c>
      <c r="C14" t="s">
        <v>693</v>
      </c>
      <c r="D14" t="s">
        <v>343</v>
      </c>
      <c r="E14" t="s">
        <v>641</v>
      </c>
    </row>
    <row r="15" spans="1:5" x14ac:dyDescent="0.25">
      <c r="A15" s="7">
        <v>14</v>
      </c>
      <c r="B15" t="s">
        <v>642</v>
      </c>
      <c r="C15" t="s">
        <v>693</v>
      </c>
      <c r="D15" t="s">
        <v>343</v>
      </c>
      <c r="E15" t="s">
        <v>642</v>
      </c>
    </row>
    <row r="16" spans="1:5" x14ac:dyDescent="0.25">
      <c r="A16" s="6">
        <v>15</v>
      </c>
      <c r="B16" s="8" t="s">
        <v>643</v>
      </c>
      <c r="C16" t="s">
        <v>693</v>
      </c>
      <c r="D16" t="s">
        <v>343</v>
      </c>
      <c r="E16" t="s">
        <v>643</v>
      </c>
    </row>
    <row r="17" spans="1:5" x14ac:dyDescent="0.25">
      <c r="A17" s="7">
        <v>12</v>
      </c>
      <c r="B17" t="s">
        <v>343</v>
      </c>
      <c r="C17" t="s">
        <v>693</v>
      </c>
      <c r="D17" t="s">
        <v>343</v>
      </c>
    </row>
    <row r="18" spans="1:5" x14ac:dyDescent="0.25">
      <c r="A18" s="6">
        <v>17</v>
      </c>
      <c r="B18" s="8" t="s">
        <v>645</v>
      </c>
      <c r="C18" t="s">
        <v>693</v>
      </c>
      <c r="D18" t="s">
        <v>679</v>
      </c>
      <c r="E18" t="s">
        <v>645</v>
      </c>
    </row>
    <row r="19" spans="1:5" x14ac:dyDescent="0.25">
      <c r="A19" s="7">
        <v>18</v>
      </c>
      <c r="B19" t="s">
        <v>644</v>
      </c>
      <c r="C19" t="s">
        <v>693</v>
      </c>
      <c r="D19" t="s">
        <v>679</v>
      </c>
      <c r="E19" t="s">
        <v>644</v>
      </c>
    </row>
    <row r="20" spans="1:5" x14ac:dyDescent="0.25">
      <c r="A20" s="7">
        <v>16</v>
      </c>
      <c r="B20" t="s">
        <v>679</v>
      </c>
      <c r="C20" t="s">
        <v>693</v>
      </c>
      <c r="D20" t="s">
        <v>679</v>
      </c>
    </row>
    <row r="21" spans="1:5" x14ac:dyDescent="0.25">
      <c r="A21" s="7">
        <v>20</v>
      </c>
      <c r="B21" t="s">
        <v>646</v>
      </c>
      <c r="C21" t="s">
        <v>693</v>
      </c>
      <c r="D21" t="s">
        <v>339</v>
      </c>
      <c r="E21" t="s">
        <v>646</v>
      </c>
    </row>
    <row r="22" spans="1:5" x14ac:dyDescent="0.25">
      <c r="A22" s="6">
        <v>21</v>
      </c>
      <c r="B22" s="8" t="s">
        <v>647</v>
      </c>
      <c r="C22" t="s">
        <v>693</v>
      </c>
      <c r="D22" t="s">
        <v>339</v>
      </c>
      <c r="E22" t="s">
        <v>647</v>
      </c>
    </row>
    <row r="23" spans="1:5" x14ac:dyDescent="0.25">
      <c r="A23" s="7">
        <v>22</v>
      </c>
      <c r="B23" t="s">
        <v>657</v>
      </c>
      <c r="C23" t="s">
        <v>693</v>
      </c>
      <c r="D23" t="s">
        <v>339</v>
      </c>
      <c r="E23" t="s">
        <v>657</v>
      </c>
    </row>
    <row r="24" spans="1:5" x14ac:dyDescent="0.25">
      <c r="A24" s="6">
        <v>23</v>
      </c>
      <c r="B24" s="8" t="s">
        <v>658</v>
      </c>
      <c r="C24" t="s">
        <v>693</v>
      </c>
      <c r="D24" t="s">
        <v>339</v>
      </c>
      <c r="E24" t="s">
        <v>658</v>
      </c>
    </row>
    <row r="25" spans="1:5" x14ac:dyDescent="0.25">
      <c r="A25" s="7">
        <v>24</v>
      </c>
      <c r="B25" t="s">
        <v>664</v>
      </c>
      <c r="C25" t="s">
        <v>693</v>
      </c>
      <c r="D25" t="s">
        <v>339</v>
      </c>
      <c r="E25" t="s">
        <v>664</v>
      </c>
    </row>
    <row r="26" spans="1:5" x14ac:dyDescent="0.25">
      <c r="A26" s="6">
        <v>19</v>
      </c>
      <c r="B26" s="8" t="s">
        <v>339</v>
      </c>
      <c r="C26" t="s">
        <v>693</v>
      </c>
      <c r="D26" t="s">
        <v>339</v>
      </c>
    </row>
    <row r="27" spans="1:5" x14ac:dyDescent="0.25">
      <c r="A27" s="6">
        <v>26</v>
      </c>
      <c r="B27" s="8" t="s">
        <v>680</v>
      </c>
      <c r="C27" t="s">
        <v>693</v>
      </c>
      <c r="D27" t="s">
        <v>701</v>
      </c>
      <c r="E27" t="s">
        <v>680</v>
      </c>
    </row>
    <row r="28" spans="1:5" x14ac:dyDescent="0.25">
      <c r="A28" s="7">
        <v>27</v>
      </c>
      <c r="B28" t="s">
        <v>674</v>
      </c>
      <c r="C28" t="s">
        <v>693</v>
      </c>
      <c r="D28" t="s">
        <v>701</v>
      </c>
      <c r="E28" t="s">
        <v>674</v>
      </c>
    </row>
    <row r="29" spans="1:5" x14ac:dyDescent="0.25">
      <c r="A29" s="6">
        <v>28</v>
      </c>
      <c r="B29" s="8" t="s">
        <v>351</v>
      </c>
      <c r="C29" t="s">
        <v>699</v>
      </c>
      <c r="D29" t="s">
        <v>351</v>
      </c>
      <c r="E29" t="s">
        <v>15</v>
      </c>
    </row>
    <row r="30" spans="1:5" x14ac:dyDescent="0.25">
      <c r="A30" s="7">
        <v>29</v>
      </c>
      <c r="B30" t="s">
        <v>337</v>
      </c>
      <c r="C30" t="s">
        <v>699</v>
      </c>
      <c r="D30" t="s">
        <v>337</v>
      </c>
      <c r="E30" t="s">
        <v>15</v>
      </c>
    </row>
    <row r="31" spans="1:5" x14ac:dyDescent="0.25">
      <c r="A31" s="6">
        <v>30</v>
      </c>
      <c r="B31" s="8" t="s">
        <v>662</v>
      </c>
      <c r="C31" t="s">
        <v>699</v>
      </c>
      <c r="D31" t="s">
        <v>702</v>
      </c>
      <c r="E31" t="s">
        <v>662</v>
      </c>
    </row>
    <row r="32" spans="1:5" x14ac:dyDescent="0.25">
      <c r="A32" s="7">
        <v>31</v>
      </c>
      <c r="B32" t="s">
        <v>663</v>
      </c>
      <c r="C32" t="s">
        <v>699</v>
      </c>
      <c r="D32" t="s">
        <v>702</v>
      </c>
      <c r="E32" t="s">
        <v>663</v>
      </c>
    </row>
    <row r="33" spans="1:5" x14ac:dyDescent="0.25">
      <c r="A33" s="6">
        <v>32</v>
      </c>
      <c r="B33" s="8" t="s">
        <v>349</v>
      </c>
      <c r="C33" t="s">
        <v>699</v>
      </c>
      <c r="D33" t="s">
        <v>349</v>
      </c>
      <c r="E33" t="s">
        <v>15</v>
      </c>
    </row>
    <row r="34" spans="1:5" x14ac:dyDescent="0.25">
      <c r="A34" s="6">
        <v>34</v>
      </c>
      <c r="B34" s="8" t="s">
        <v>648</v>
      </c>
      <c r="C34" t="s">
        <v>699</v>
      </c>
      <c r="D34" t="s">
        <v>342</v>
      </c>
      <c r="E34" t="s">
        <v>648</v>
      </c>
    </row>
    <row r="35" spans="1:5" x14ac:dyDescent="0.25">
      <c r="A35" s="7">
        <v>35</v>
      </c>
      <c r="B35" t="s">
        <v>649</v>
      </c>
      <c r="C35" t="s">
        <v>699</v>
      </c>
      <c r="D35" t="s">
        <v>342</v>
      </c>
      <c r="E35" t="s">
        <v>649</v>
      </c>
    </row>
    <row r="36" spans="1:5" x14ac:dyDescent="0.25">
      <c r="A36" s="6">
        <v>37</v>
      </c>
      <c r="B36" s="8" t="s">
        <v>660</v>
      </c>
      <c r="C36" t="s">
        <v>699</v>
      </c>
      <c r="D36" t="s">
        <v>342</v>
      </c>
      <c r="E36" t="s">
        <v>660</v>
      </c>
    </row>
    <row r="37" spans="1:5" x14ac:dyDescent="0.25">
      <c r="A37" s="7">
        <v>38</v>
      </c>
      <c r="B37" t="s">
        <v>661</v>
      </c>
      <c r="C37" t="s">
        <v>699</v>
      </c>
      <c r="D37" t="s">
        <v>342</v>
      </c>
      <c r="E37" t="s">
        <v>661</v>
      </c>
    </row>
    <row r="38" spans="1:5" x14ac:dyDescent="0.25">
      <c r="A38" s="7">
        <v>33</v>
      </c>
      <c r="B38" t="s">
        <v>342</v>
      </c>
      <c r="C38" t="s">
        <v>699</v>
      </c>
      <c r="D38" t="s">
        <v>342</v>
      </c>
    </row>
    <row r="39" spans="1:5" x14ac:dyDescent="0.25">
      <c r="A39" s="7">
        <v>40</v>
      </c>
      <c r="B39" t="s">
        <v>659</v>
      </c>
      <c r="C39" t="s">
        <v>699</v>
      </c>
      <c r="D39" t="s">
        <v>681</v>
      </c>
      <c r="E39" t="s">
        <v>659</v>
      </c>
    </row>
    <row r="40" spans="1:5" x14ac:dyDescent="0.25">
      <c r="A40" s="6">
        <v>41</v>
      </c>
      <c r="B40" s="8" t="s">
        <v>682</v>
      </c>
      <c r="C40" t="s">
        <v>699</v>
      </c>
      <c r="D40" t="s">
        <v>681</v>
      </c>
      <c r="E40" t="s">
        <v>682</v>
      </c>
    </row>
    <row r="41" spans="1:5" x14ac:dyDescent="0.25">
      <c r="A41" s="7">
        <v>42</v>
      </c>
      <c r="B41" t="s">
        <v>635</v>
      </c>
      <c r="C41" t="s">
        <v>699</v>
      </c>
      <c r="D41" t="s">
        <v>681</v>
      </c>
      <c r="E41" t="s">
        <v>635</v>
      </c>
    </row>
    <row r="42" spans="1:5" x14ac:dyDescent="0.25">
      <c r="A42" s="6">
        <v>43</v>
      </c>
      <c r="B42" s="8" t="s">
        <v>665</v>
      </c>
      <c r="C42" t="s">
        <v>699</v>
      </c>
      <c r="D42" t="s">
        <v>681</v>
      </c>
      <c r="E42" t="s">
        <v>665</v>
      </c>
    </row>
    <row r="43" spans="1:5" x14ac:dyDescent="0.25">
      <c r="A43" s="7">
        <v>45</v>
      </c>
      <c r="B43" t="s">
        <v>666</v>
      </c>
      <c r="C43" t="s">
        <v>699</v>
      </c>
      <c r="D43" t="s">
        <v>681</v>
      </c>
      <c r="E43" t="s">
        <v>666</v>
      </c>
    </row>
    <row r="44" spans="1:5" x14ac:dyDescent="0.25">
      <c r="A44" s="6">
        <v>39</v>
      </c>
      <c r="B44" s="8" t="s">
        <v>681</v>
      </c>
      <c r="C44" t="s">
        <v>699</v>
      </c>
      <c r="D44" t="s">
        <v>681</v>
      </c>
    </row>
    <row r="45" spans="1:5" x14ac:dyDescent="0.25">
      <c r="A45" s="7">
        <v>47</v>
      </c>
      <c r="B45" t="s">
        <v>656</v>
      </c>
      <c r="C45" t="s">
        <v>699</v>
      </c>
      <c r="D45" t="s">
        <v>683</v>
      </c>
      <c r="E45" t="s">
        <v>656</v>
      </c>
    </row>
    <row r="46" spans="1:5" x14ac:dyDescent="0.25">
      <c r="A46" s="6">
        <v>48</v>
      </c>
      <c r="B46" s="8" t="s">
        <v>655</v>
      </c>
      <c r="C46" t="s">
        <v>699</v>
      </c>
      <c r="D46" t="s">
        <v>683</v>
      </c>
      <c r="E46" t="s">
        <v>655</v>
      </c>
    </row>
    <row r="47" spans="1:5" x14ac:dyDescent="0.25">
      <c r="A47" s="6">
        <v>46</v>
      </c>
      <c r="B47" s="8" t="s">
        <v>683</v>
      </c>
      <c r="C47" t="s">
        <v>699</v>
      </c>
      <c r="D47" t="s">
        <v>683</v>
      </c>
    </row>
    <row r="48" spans="1:5" x14ac:dyDescent="0.25">
      <c r="A48" s="6">
        <v>50</v>
      </c>
      <c r="B48" s="8" t="s">
        <v>654</v>
      </c>
      <c r="C48" t="s">
        <v>699</v>
      </c>
      <c r="D48" t="s">
        <v>336</v>
      </c>
      <c r="E48" t="s">
        <v>654</v>
      </c>
    </row>
    <row r="49" spans="1:5" x14ac:dyDescent="0.25">
      <c r="A49" s="7">
        <v>51</v>
      </c>
      <c r="B49" t="s">
        <v>653</v>
      </c>
      <c r="C49" t="s">
        <v>699</v>
      </c>
      <c r="D49" t="s">
        <v>336</v>
      </c>
      <c r="E49" t="s">
        <v>653</v>
      </c>
    </row>
    <row r="50" spans="1:5" x14ac:dyDescent="0.25">
      <c r="A50" s="6">
        <v>52</v>
      </c>
      <c r="B50" s="8" t="s">
        <v>652</v>
      </c>
      <c r="C50" t="s">
        <v>699</v>
      </c>
      <c r="D50" t="s">
        <v>336</v>
      </c>
      <c r="E50" t="s">
        <v>652</v>
      </c>
    </row>
    <row r="51" spans="1:5" x14ac:dyDescent="0.25">
      <c r="A51" s="7">
        <v>49</v>
      </c>
      <c r="B51" t="s">
        <v>336</v>
      </c>
      <c r="C51" t="s">
        <v>699</v>
      </c>
      <c r="D51" t="s">
        <v>336</v>
      </c>
    </row>
    <row r="52" spans="1:5" x14ac:dyDescent="0.25">
      <c r="A52" s="6">
        <v>54</v>
      </c>
      <c r="B52" s="8" t="s">
        <v>684</v>
      </c>
      <c r="C52" t="s">
        <v>699</v>
      </c>
      <c r="D52" t="s">
        <v>24</v>
      </c>
      <c r="E52" t="s">
        <v>684</v>
      </c>
    </row>
    <row r="53" spans="1:5" x14ac:dyDescent="0.25">
      <c r="A53" s="7">
        <v>55</v>
      </c>
      <c r="B53" t="s">
        <v>636</v>
      </c>
      <c r="C53" t="s">
        <v>699</v>
      </c>
      <c r="D53" t="s">
        <v>24</v>
      </c>
      <c r="E53" t="s">
        <v>636</v>
      </c>
    </row>
    <row r="54" spans="1:5" x14ac:dyDescent="0.25">
      <c r="A54" s="6">
        <v>56</v>
      </c>
      <c r="B54" s="8" t="s">
        <v>637</v>
      </c>
      <c r="C54" t="s">
        <v>699</v>
      </c>
      <c r="D54" t="s">
        <v>24</v>
      </c>
      <c r="E54" t="s">
        <v>637</v>
      </c>
    </row>
    <row r="55" spans="1:5" x14ac:dyDescent="0.25">
      <c r="A55" s="7">
        <v>57</v>
      </c>
      <c r="B55" t="s">
        <v>685</v>
      </c>
      <c r="C55" t="s">
        <v>699</v>
      </c>
      <c r="D55" t="s">
        <v>24</v>
      </c>
      <c r="E55" t="s">
        <v>685</v>
      </c>
    </row>
    <row r="56" spans="1:5" x14ac:dyDescent="0.25">
      <c r="A56" s="6">
        <v>58</v>
      </c>
      <c r="B56" s="8" t="s">
        <v>686</v>
      </c>
      <c r="C56" t="s">
        <v>699</v>
      </c>
      <c r="D56" t="s">
        <v>24</v>
      </c>
      <c r="E56" t="s">
        <v>686</v>
      </c>
    </row>
    <row r="57" spans="1:5" x14ac:dyDescent="0.25">
      <c r="A57" s="7">
        <v>53</v>
      </c>
      <c r="B57" t="s">
        <v>24</v>
      </c>
      <c r="C57" t="s">
        <v>699</v>
      </c>
      <c r="D57" t="s">
        <v>24</v>
      </c>
    </row>
    <row r="58" spans="1:5" x14ac:dyDescent="0.25">
      <c r="A58" s="6">
        <v>60</v>
      </c>
      <c r="B58" s="8" t="s">
        <v>650</v>
      </c>
      <c r="C58" t="s">
        <v>699</v>
      </c>
      <c r="D58" t="s">
        <v>341</v>
      </c>
      <c r="E58" t="s">
        <v>650</v>
      </c>
    </row>
    <row r="59" spans="1:5" x14ac:dyDescent="0.25">
      <c r="A59" s="7">
        <v>61</v>
      </c>
      <c r="B59" t="s">
        <v>651</v>
      </c>
      <c r="C59" t="s">
        <v>699</v>
      </c>
      <c r="D59" t="s">
        <v>341</v>
      </c>
      <c r="E59" t="s">
        <v>651</v>
      </c>
    </row>
    <row r="60" spans="1:5" x14ac:dyDescent="0.25">
      <c r="A60" s="7">
        <v>59</v>
      </c>
      <c r="B60" t="s">
        <v>341</v>
      </c>
      <c r="C60" t="s">
        <v>699</v>
      </c>
      <c r="D60" t="s">
        <v>341</v>
      </c>
    </row>
    <row r="61" spans="1:5" x14ac:dyDescent="0.25">
      <c r="A61" s="7">
        <v>63</v>
      </c>
      <c r="B61" t="s">
        <v>353</v>
      </c>
      <c r="C61" t="s">
        <v>687</v>
      </c>
      <c r="D61" t="s">
        <v>353</v>
      </c>
      <c r="E61" t="s">
        <v>15</v>
      </c>
    </row>
    <row r="62" spans="1:5" x14ac:dyDescent="0.25">
      <c r="A62" s="6">
        <v>64</v>
      </c>
      <c r="B62" s="8" t="s">
        <v>345</v>
      </c>
      <c r="C62" t="s">
        <v>687</v>
      </c>
      <c r="D62" t="s">
        <v>345</v>
      </c>
      <c r="E62" t="s">
        <v>15</v>
      </c>
    </row>
    <row r="63" spans="1:5" x14ac:dyDescent="0.25">
      <c r="A63" s="7">
        <v>65</v>
      </c>
      <c r="B63" t="s">
        <v>354</v>
      </c>
      <c r="C63" t="s">
        <v>687</v>
      </c>
      <c r="D63" t="s">
        <v>354</v>
      </c>
      <c r="E63" t="s">
        <v>15</v>
      </c>
    </row>
    <row r="64" spans="1:5" x14ac:dyDescent="0.25">
      <c r="A64" s="6">
        <v>66</v>
      </c>
      <c r="B64" s="8" t="s">
        <v>688</v>
      </c>
      <c r="C64" t="s">
        <v>687</v>
      </c>
      <c r="D64" t="s">
        <v>688</v>
      </c>
      <c r="E64" t="s">
        <v>15</v>
      </c>
    </row>
    <row r="65" spans="1:5" x14ac:dyDescent="0.25">
      <c r="A65" s="6">
        <v>62</v>
      </c>
      <c r="B65" s="8" t="s">
        <v>687</v>
      </c>
      <c r="C65" t="s">
        <v>687</v>
      </c>
      <c r="E65" t="s">
        <v>15</v>
      </c>
    </row>
    <row r="66" spans="1:5" x14ac:dyDescent="0.25">
      <c r="A66" s="6">
        <v>68</v>
      </c>
      <c r="B66" s="8" t="s">
        <v>23</v>
      </c>
      <c r="C66" t="s">
        <v>689</v>
      </c>
      <c r="D66" t="s">
        <v>23</v>
      </c>
      <c r="E66" t="s">
        <v>15</v>
      </c>
    </row>
    <row r="67" spans="1:5" x14ac:dyDescent="0.25">
      <c r="A67" s="7">
        <v>67</v>
      </c>
      <c r="B67" t="s">
        <v>689</v>
      </c>
      <c r="C67" t="s">
        <v>689</v>
      </c>
      <c r="E67" t="s">
        <v>15</v>
      </c>
    </row>
    <row r="68" spans="1:5" x14ac:dyDescent="0.25">
      <c r="A68" s="6">
        <v>70</v>
      </c>
      <c r="B68" s="8" t="s">
        <v>347</v>
      </c>
      <c r="C68" t="s">
        <v>690</v>
      </c>
      <c r="D68" t="s">
        <v>347</v>
      </c>
      <c r="E68" t="s">
        <v>15</v>
      </c>
    </row>
    <row r="69" spans="1:5" x14ac:dyDescent="0.25">
      <c r="A69" s="7">
        <v>71</v>
      </c>
      <c r="B69" t="s">
        <v>361</v>
      </c>
      <c r="C69" t="s">
        <v>690</v>
      </c>
      <c r="D69" t="s">
        <v>361</v>
      </c>
      <c r="E69" t="s">
        <v>15</v>
      </c>
    </row>
    <row r="70" spans="1:5" x14ac:dyDescent="0.25">
      <c r="A70" s="6">
        <v>72</v>
      </c>
      <c r="B70" s="8" t="s">
        <v>363</v>
      </c>
      <c r="C70" t="s">
        <v>690</v>
      </c>
      <c r="D70" t="s">
        <v>363</v>
      </c>
      <c r="E70" t="s">
        <v>15</v>
      </c>
    </row>
    <row r="71" spans="1:5" x14ac:dyDescent="0.25">
      <c r="A71" s="7">
        <v>73</v>
      </c>
      <c r="B71" t="s">
        <v>364</v>
      </c>
      <c r="C71" t="s">
        <v>690</v>
      </c>
      <c r="D71" t="s">
        <v>364</v>
      </c>
      <c r="E71" t="s">
        <v>15</v>
      </c>
    </row>
    <row r="72" spans="1:5" x14ac:dyDescent="0.25">
      <c r="A72" s="6">
        <v>74</v>
      </c>
      <c r="B72" s="8" t="s">
        <v>359</v>
      </c>
      <c r="C72" t="s">
        <v>690</v>
      </c>
      <c r="D72" t="s">
        <v>359</v>
      </c>
      <c r="E72" t="s">
        <v>15</v>
      </c>
    </row>
    <row r="73" spans="1:5" x14ac:dyDescent="0.25">
      <c r="A73" s="7">
        <v>75</v>
      </c>
      <c r="B73" t="s">
        <v>360</v>
      </c>
      <c r="C73" t="s">
        <v>690</v>
      </c>
      <c r="D73" t="s">
        <v>360</v>
      </c>
      <c r="E73" t="s">
        <v>15</v>
      </c>
    </row>
    <row r="74" spans="1:5" x14ac:dyDescent="0.25">
      <c r="A74" s="6">
        <v>76</v>
      </c>
      <c r="B74" s="8" t="s">
        <v>346</v>
      </c>
      <c r="C74" t="s">
        <v>690</v>
      </c>
      <c r="D74" t="s">
        <v>346</v>
      </c>
      <c r="E74" t="s">
        <v>15</v>
      </c>
    </row>
    <row r="75" spans="1:5" x14ac:dyDescent="0.25">
      <c r="A75" s="7">
        <v>77</v>
      </c>
      <c r="B75" t="s">
        <v>362</v>
      </c>
      <c r="C75" t="s">
        <v>690</v>
      </c>
      <c r="D75" t="s">
        <v>362</v>
      </c>
      <c r="E75" t="s">
        <v>15</v>
      </c>
    </row>
    <row r="76" spans="1:5" x14ac:dyDescent="0.25">
      <c r="A76" s="7">
        <v>69</v>
      </c>
      <c r="B76" t="s">
        <v>690</v>
      </c>
      <c r="C76" t="s">
        <v>690</v>
      </c>
      <c r="E76" t="s">
        <v>15</v>
      </c>
    </row>
    <row r="77" spans="1:5" x14ac:dyDescent="0.25">
      <c r="A77" s="7">
        <v>79</v>
      </c>
      <c r="B77" t="s">
        <v>358</v>
      </c>
      <c r="C77" t="s">
        <v>691</v>
      </c>
      <c r="D77" t="s">
        <v>358</v>
      </c>
      <c r="E77" t="s">
        <v>15</v>
      </c>
    </row>
    <row r="78" spans="1:5" x14ac:dyDescent="0.25">
      <c r="A78" s="6">
        <v>80</v>
      </c>
      <c r="B78" s="8" t="s">
        <v>344</v>
      </c>
      <c r="C78" t="s">
        <v>691</v>
      </c>
      <c r="D78" t="s">
        <v>344</v>
      </c>
      <c r="E78" t="s">
        <v>15</v>
      </c>
    </row>
    <row r="79" spans="1:5" x14ac:dyDescent="0.25">
      <c r="A79" s="7">
        <v>81</v>
      </c>
      <c r="B79" t="s">
        <v>356</v>
      </c>
      <c r="C79" t="s">
        <v>691</v>
      </c>
      <c r="D79" t="s">
        <v>356</v>
      </c>
      <c r="E79" t="s">
        <v>15</v>
      </c>
    </row>
    <row r="80" spans="1:5" x14ac:dyDescent="0.25">
      <c r="A80" s="6">
        <v>82</v>
      </c>
      <c r="B80" s="8" t="s">
        <v>357</v>
      </c>
      <c r="C80" t="s">
        <v>691</v>
      </c>
      <c r="D80" t="s">
        <v>357</v>
      </c>
      <c r="E80" t="s">
        <v>15</v>
      </c>
    </row>
    <row r="81" spans="1:5" x14ac:dyDescent="0.25">
      <c r="A81" s="6">
        <v>78</v>
      </c>
      <c r="B81" s="8" t="s">
        <v>691</v>
      </c>
      <c r="C81" t="s">
        <v>691</v>
      </c>
      <c r="E81" t="s">
        <v>15</v>
      </c>
    </row>
    <row r="82" spans="1:5" x14ac:dyDescent="0.25">
      <c r="A82" s="7">
        <v>83</v>
      </c>
      <c r="B82" t="s">
        <v>692</v>
      </c>
      <c r="C82" t="s">
        <v>692</v>
      </c>
      <c r="D82" t="s">
        <v>15</v>
      </c>
      <c r="E82" t="s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CACADD-5C7C-4493-A468-B75AB4F39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SBI_naar_bal</vt:lpstr>
      <vt:lpstr>Bal_naam_tabel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Kees Wesdorp</dc:creator>
  <cp:lastModifiedBy>Kees Wesdorp</cp:lastModifiedBy>
  <dcterms:created xsi:type="dcterms:W3CDTF">2023-06-27T13:53:41Z</dcterms:created>
  <dcterms:modified xsi:type="dcterms:W3CDTF">2023-08-24T15:31:59Z</dcterms:modified>
</cp:coreProperties>
</file>